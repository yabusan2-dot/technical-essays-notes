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ct15\Desktop\"/>
    </mc:Choice>
  </mc:AlternateContent>
  <xr:revisionPtr revIDLastSave="0" documentId="13_ncr:1_{A9E82ECF-3BA0-46E1-B161-6CE639F1A2CA}" xr6:coauthVersionLast="47" xr6:coauthVersionMax="47" xr10:uidLastSave="{00000000-0000-0000-0000-000000000000}"/>
  <bookViews>
    <workbookView xWindow="-120" yWindow="-120" windowWidth="29040" windowHeight="15840" xr2:uid="{00000000-000D-0000-FFFF-FFFF00000000}"/>
  </bookViews>
  <sheets>
    <sheet name="107" sheetId="1" r:id="rId1"/>
    <sheet name="108" sheetId="2" r:id="rId2"/>
    <sheet name="109" sheetId="3" r:id="rId3"/>
    <sheet name="110" sheetId="4" r:id="rId4"/>
    <sheet name="111" sheetId="5" r:id="rId5"/>
    <sheet name="112" sheetId="6" r:id="rId6"/>
    <sheet name="113" sheetId="7" r:id="rId7"/>
    <sheet name="114" sheetId="8" r:id="rId8"/>
    <sheet name="115" sheetId="9" r:id="rId9"/>
    <sheet name="116" sheetId="10" r:id="rId10"/>
    <sheet name="AI使用での注意点" sheetId="11" r:id="rId11"/>
    <sheet name="AIの回答調査とまとめ"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4" roundtripDataChecksum="nkww9f0VB5ZU8trkVrNAnAWh0WQo1BLFnevYYGupzZQ="/>
    </ext>
  </extLst>
</workbook>
</file>

<file path=xl/calcChain.xml><?xml version="1.0" encoding="utf-8"?>
<calcChain xmlns="http://schemas.openxmlformats.org/spreadsheetml/2006/main">
  <c r="X13" i="4" l="1"/>
  <c r="X9" i="4"/>
  <c r="X11" i="4"/>
  <c r="G28" i="5"/>
  <c r="I6" i="5"/>
  <c r="B6" i="5"/>
  <c r="F15" i="3"/>
  <c r="F8" i="3"/>
  <c r="F9" i="3" s="1"/>
  <c r="F10" i="3" s="1"/>
</calcChain>
</file>

<file path=xl/sharedStrings.xml><?xml version="1.0" encoding="utf-8"?>
<sst xmlns="http://schemas.openxmlformats.org/spreadsheetml/2006/main" count="973" uniqueCount="558">
  <si>
    <t>（ⅰ）</t>
  </si>
  <si>
    <r>
      <rPr>
        <sz val="11"/>
        <color theme="1"/>
        <rFont val="Aptos Narrow"/>
      </rPr>
      <t>1～7の7つの数から4つ取り出して並べるのは、</t>
    </r>
    <r>
      <rPr>
        <vertAlign val="subscript"/>
        <sz val="11"/>
        <color theme="1"/>
        <rFont val="游ゴシック"/>
        <family val="3"/>
        <charset val="128"/>
      </rPr>
      <t>7</t>
    </r>
    <r>
      <rPr>
        <sz val="11"/>
        <color theme="1"/>
        <rFont val="游ゴシック"/>
        <family val="3"/>
        <charset val="128"/>
      </rPr>
      <t>P</t>
    </r>
    <r>
      <rPr>
        <vertAlign val="subscript"/>
        <sz val="11"/>
        <color theme="1"/>
        <rFont val="游ゴシック"/>
        <family val="3"/>
        <charset val="128"/>
      </rPr>
      <t>4</t>
    </r>
    <r>
      <rPr>
        <sz val="11"/>
        <color theme="1"/>
        <rFont val="游ゴシック"/>
        <family val="3"/>
        <charset val="128"/>
      </rPr>
      <t>=7*6*5*4=840</t>
    </r>
  </si>
  <si>
    <t>①Aに入るのは1～7の数の内、どれでも良いので7通りある</t>
  </si>
  <si>
    <t>②Bに入るのは1～7の数の内、Aに入れた残りが6通りある</t>
  </si>
  <si>
    <t>③Cに入るのは1～7の数の内、A、Bに入れた残りが5通りある</t>
  </si>
  <si>
    <t>④Dに入るのは1～7の数の内、A、B、Cに入れた残りが4通りある</t>
  </si>
  <si>
    <t>よって、7*6*5*4=840通り</t>
  </si>
  <si>
    <t>（ⅱ）</t>
  </si>
  <si>
    <t>4567より大きいものは、</t>
  </si>
  <si>
    <t>457×となるもの</t>
  </si>
  <si>
    <r>
      <rPr>
        <vertAlign val="subscript"/>
        <sz val="11"/>
        <color theme="1"/>
        <rFont val="游ゴシック"/>
        <family val="3"/>
        <charset val="128"/>
      </rPr>
      <t>4</t>
    </r>
    <r>
      <rPr>
        <sz val="11"/>
        <color theme="1"/>
        <rFont val="游ゴシック"/>
        <family val="3"/>
        <charset val="128"/>
      </rPr>
      <t>P</t>
    </r>
    <r>
      <rPr>
        <vertAlign val="subscript"/>
        <sz val="11"/>
        <color theme="1"/>
        <rFont val="游ゴシック"/>
        <family val="3"/>
        <charset val="128"/>
      </rPr>
      <t>1</t>
    </r>
    <r>
      <rPr>
        <sz val="11"/>
        <color theme="1"/>
        <rFont val="游ゴシック"/>
        <family val="3"/>
        <charset val="128"/>
      </rPr>
      <t>=4</t>
    </r>
  </si>
  <si>
    <t>4通り</t>
  </si>
  <si>
    <r>
      <rPr>
        <sz val="11"/>
        <color theme="1"/>
        <rFont val="游ゴシック"/>
        <family val="3"/>
        <charset val="128"/>
      </rPr>
      <t>2*</t>
    </r>
    <r>
      <rPr>
        <vertAlign val="subscript"/>
        <sz val="11"/>
        <color theme="1"/>
        <rFont val="游ゴシック"/>
        <family val="3"/>
        <charset val="128"/>
      </rPr>
      <t>5</t>
    </r>
    <r>
      <rPr>
        <sz val="11"/>
        <color theme="1"/>
        <rFont val="游ゴシック"/>
        <family val="3"/>
        <charset val="128"/>
      </rPr>
      <t>P</t>
    </r>
    <r>
      <rPr>
        <vertAlign val="subscript"/>
        <sz val="11"/>
        <color theme="1"/>
        <rFont val="游ゴシック"/>
        <family val="3"/>
        <charset val="128"/>
      </rPr>
      <t>2</t>
    </r>
    <r>
      <rPr>
        <sz val="11"/>
        <color theme="1"/>
        <rFont val="游ゴシック"/>
        <family val="3"/>
        <charset val="128"/>
      </rPr>
      <t>=2*5*4</t>
    </r>
    <r>
      <rPr>
        <sz val="11"/>
        <color theme="1"/>
        <rFont val="游ゴシック"/>
        <family val="3"/>
        <charset val="128"/>
      </rPr>
      <t>=40</t>
    </r>
  </si>
  <si>
    <t>40通り</t>
  </si>
  <si>
    <t>5×××、6×××、7×××となるもの</t>
  </si>
  <si>
    <r>
      <rPr>
        <sz val="11"/>
        <color theme="1"/>
        <rFont val="游ゴシック"/>
        <family val="3"/>
        <charset val="128"/>
      </rPr>
      <t>3*</t>
    </r>
    <r>
      <rPr>
        <vertAlign val="subscript"/>
        <sz val="11"/>
        <color theme="1"/>
        <rFont val="游ゴシック"/>
        <family val="3"/>
        <charset val="128"/>
      </rPr>
      <t>6</t>
    </r>
    <r>
      <rPr>
        <sz val="11"/>
        <color theme="1"/>
        <rFont val="游ゴシック"/>
        <family val="3"/>
        <charset val="128"/>
      </rPr>
      <t>P</t>
    </r>
    <r>
      <rPr>
        <vertAlign val="subscript"/>
        <sz val="11"/>
        <color theme="1"/>
        <rFont val="游ゴシック"/>
        <family val="3"/>
        <charset val="128"/>
      </rPr>
      <t>3</t>
    </r>
    <r>
      <rPr>
        <sz val="11"/>
        <color theme="1"/>
        <rFont val="游ゴシック"/>
        <family val="3"/>
        <charset val="128"/>
      </rPr>
      <t>=3*6*5*4</t>
    </r>
    <r>
      <rPr>
        <sz val="11"/>
        <color theme="1"/>
        <rFont val="游ゴシック"/>
        <family val="3"/>
        <charset val="128"/>
      </rPr>
      <t>=360</t>
    </r>
  </si>
  <si>
    <t>360通り</t>
  </si>
  <si>
    <t>合計</t>
  </si>
  <si>
    <t>404通り</t>
  </si>
  <si>
    <t>（ⅲ）</t>
  </si>
  <si>
    <t>4桁目が1となるのは、</t>
  </si>
  <si>
    <r>
      <rPr>
        <vertAlign val="subscript"/>
        <sz val="11"/>
        <color theme="1"/>
        <rFont val="游ゴシック"/>
        <family val="3"/>
        <charset val="128"/>
      </rPr>
      <t>6</t>
    </r>
    <r>
      <rPr>
        <sz val="11"/>
        <color theme="1"/>
        <rFont val="游ゴシック"/>
        <family val="3"/>
        <charset val="128"/>
      </rPr>
      <t>P</t>
    </r>
    <r>
      <rPr>
        <vertAlign val="subscript"/>
        <sz val="11"/>
        <color theme="1"/>
        <rFont val="游ゴシック"/>
        <family val="3"/>
        <charset val="128"/>
      </rPr>
      <t>3</t>
    </r>
    <r>
      <rPr>
        <sz val="11"/>
        <color theme="1"/>
        <rFont val="游ゴシック"/>
        <family val="3"/>
        <charset val="128"/>
      </rPr>
      <t>=6*5*4</t>
    </r>
    <r>
      <rPr>
        <sz val="11"/>
        <color theme="1"/>
        <rFont val="游ゴシック"/>
        <family val="3"/>
        <charset val="128"/>
      </rPr>
      <t>=120</t>
    </r>
  </si>
  <si>
    <t>120通り</t>
  </si>
  <si>
    <t>計120通り</t>
  </si>
  <si>
    <t>4桁目が2となるのは、</t>
  </si>
  <si>
    <t>計240通り</t>
  </si>
  <si>
    <t>4桁目が3となるのは、</t>
  </si>
  <si>
    <t>計360通り</t>
  </si>
  <si>
    <t>4桁目が4</t>
  </si>
  <si>
    <t>3桁目が1となるのは、</t>
  </si>
  <si>
    <r>
      <rPr>
        <vertAlign val="subscript"/>
        <sz val="11"/>
        <color theme="1"/>
        <rFont val="游ゴシック"/>
        <family val="3"/>
        <charset val="128"/>
      </rPr>
      <t>5</t>
    </r>
    <r>
      <rPr>
        <sz val="11"/>
        <color theme="1"/>
        <rFont val="游ゴシック"/>
        <family val="3"/>
        <charset val="128"/>
      </rPr>
      <t>P</t>
    </r>
    <r>
      <rPr>
        <vertAlign val="subscript"/>
        <sz val="11"/>
        <color theme="1"/>
        <rFont val="游ゴシック"/>
        <family val="3"/>
        <charset val="128"/>
      </rPr>
      <t>2</t>
    </r>
    <r>
      <rPr>
        <sz val="11"/>
        <color theme="1"/>
        <rFont val="游ゴシック"/>
        <family val="3"/>
        <charset val="128"/>
      </rPr>
      <t>=5*4</t>
    </r>
    <r>
      <rPr>
        <sz val="11"/>
        <color theme="1"/>
        <rFont val="游ゴシック"/>
        <family val="3"/>
        <charset val="128"/>
      </rPr>
      <t>=20</t>
    </r>
  </si>
  <si>
    <t>20通り</t>
  </si>
  <si>
    <t>計380通り</t>
  </si>
  <si>
    <t>3桁目が2となるのは、</t>
  </si>
  <si>
    <t>計400通り</t>
  </si>
  <si>
    <t>3桁目が3となるのは、</t>
  </si>
  <si>
    <t>計420通り</t>
  </si>
  <si>
    <t>3桁目が5</t>
  </si>
  <si>
    <t>2桁目が1となるのは、</t>
  </si>
  <si>
    <r>
      <rPr>
        <vertAlign val="subscript"/>
        <sz val="11"/>
        <color theme="1"/>
        <rFont val="游ゴシック"/>
        <family val="3"/>
        <charset val="128"/>
      </rPr>
      <t>4</t>
    </r>
    <r>
      <rPr>
        <sz val="11"/>
        <color theme="1"/>
        <rFont val="游ゴシック"/>
        <family val="3"/>
        <charset val="128"/>
      </rPr>
      <t>P</t>
    </r>
    <r>
      <rPr>
        <vertAlign val="subscript"/>
        <sz val="11"/>
        <color theme="1"/>
        <rFont val="游ゴシック"/>
        <family val="3"/>
        <charset val="128"/>
      </rPr>
      <t>1</t>
    </r>
    <r>
      <rPr>
        <sz val="11"/>
        <color theme="1"/>
        <rFont val="游ゴシック"/>
        <family val="3"/>
        <charset val="128"/>
      </rPr>
      <t>=4</t>
    </r>
    <r>
      <rPr>
        <sz val="11"/>
        <color theme="1"/>
        <rFont val="游ゴシック"/>
        <family val="3"/>
        <charset val="128"/>
      </rPr>
      <t>=4</t>
    </r>
  </si>
  <si>
    <t>計424通り</t>
  </si>
  <si>
    <t>2桁目が2となるのは、</t>
  </si>
  <si>
    <t>計428通り</t>
  </si>
  <si>
    <t>2桁目が3となるのは、</t>
  </si>
  <si>
    <t>計432通り</t>
  </si>
  <si>
    <t>上記から4桁目は4、3桁目は5、2桁目は3の一番大きいのは</t>
  </si>
  <si>
    <t>429番目が4531</t>
  </si>
  <si>
    <t>430番目が4532</t>
  </si>
  <si>
    <t>431番目が4536</t>
  </si>
  <si>
    <t>432番目が4537</t>
  </si>
  <si>
    <t>【計算】</t>
  </si>
  <si>
    <t>異なる7個の数字からえられる7桁の数字は、</t>
  </si>
  <si>
    <t>7P7=7*6*5*4*3*2*1=5040</t>
  </si>
  <si>
    <t>5040通り</t>
  </si>
  <si>
    <t>1が3つ、2、3が２つずつなので、3×2×1×2×1×2×1＝24で割って</t>
  </si>
  <si>
    <t>210通り</t>
  </si>
  <si>
    <t>1を1つ使わない6桁の数字は、同様に720÷8＝90</t>
  </si>
  <si>
    <t>異なる6個の数字からえられる６桁の数字は</t>
  </si>
  <si>
    <t>6*5*4*3*2*1=720</t>
  </si>
  <si>
    <t>1、2、3が２つずつなので、2×1×2×1×2×1＝８で割る</t>
  </si>
  <si>
    <t>2を1つ使わない6桁の数字は、同様に720÷12＝60</t>
  </si>
  <si>
    <t>1が3つ、2が1つ、3が２なので、3×2×1×1×2×1＝12で割る</t>
  </si>
  <si>
    <t>計算により等しくなることが分かる</t>
  </si>
  <si>
    <t>【理論】</t>
  </si>
  <si>
    <t>7個の数字からえられる7桁の数字で、1桁目の数値は上位6桁の残りとして、これを使わない数字とすれば1通りしかないことが確定する</t>
  </si>
  <si>
    <t>従って7個の数字からえられる7桁の数字の組み合わせ数は、上位6桁分の数値の取りえる数値と同じになる</t>
  </si>
  <si>
    <t>下図のように考えると異なる7つの数字の場合は明らか</t>
  </si>
  <si>
    <t>7桁目</t>
  </si>
  <si>
    <t>6桁目</t>
  </si>
  <si>
    <t>5桁目</t>
  </si>
  <si>
    <t>4桁目</t>
  </si>
  <si>
    <t>3桁目</t>
  </si>
  <si>
    <t>2桁目</t>
  </si>
  <si>
    <t>1桁目</t>
  </si>
  <si>
    <t>使わない数</t>
  </si>
  <si>
    <t>同じ数が複数ある場合も同じだが、疑問に思う場合は次の説明も追加する</t>
  </si>
  <si>
    <t>計算で求めた7桁の数を一覧にし、6桁の数を7桁の数の上位6桁、1桁目を使わない数とする表を作成する</t>
  </si>
  <si>
    <t>番号</t>
  </si>
  <si>
    <t>7桁の数</t>
  </si>
  <si>
    <t>6桁の数</t>
  </si>
  <si>
    <t>使わない数が同じで上位6桁が同じものがあれば、</t>
  </si>
  <si>
    <t>7桁の数の場合の数と6桁の数の場合の数が異なるが、</t>
  </si>
  <si>
    <t>・・・・・・省略・・・・・・</t>
  </si>
  <si>
    <t>上位6桁が同じで、使わない1桁目も同じなら、</t>
  </si>
  <si>
    <t>結局7桁の数は同じ数となり、</t>
  </si>
  <si>
    <t>異なる場合の数の一覧ではなくなる（矛盾）</t>
  </si>
  <si>
    <t>6桁の数に使わない1桁目を加えた7桁の数は、</t>
  </si>
  <si>
    <t>7桁の数の一覧にないことになり、これも矛盾する</t>
  </si>
  <si>
    <t>まず数の並べ方全体が何通りあるかを考える</t>
  </si>
  <si>
    <t>1680通り</t>
  </si>
  <si>
    <t>①</t>
  </si>
  <si>
    <t>3数とも等しくなる場合</t>
  </si>
  <si>
    <t>3数それぞれ1と2と3を1つずつ使用し、かつ並び順も同じ</t>
  </si>
  <si>
    <t>1が3枚ある場合は、</t>
  </si>
  <si>
    <t>6で割る</t>
  </si>
  <si>
    <t>従って</t>
  </si>
  <si>
    <t>6通り</t>
  </si>
  <si>
    <t>2が3枚ある場合は、</t>
  </si>
  <si>
    <t>3が3枚ある場合は、</t>
  </si>
  <si>
    <t>②</t>
  </si>
  <si>
    <t>2数が等しくなるのは①と同様にそれぞれ1と2と3を1つずつ使用で1つだけ並びが異なる場合</t>
  </si>
  <si>
    <t>等しくない数はA1、A2、A3の場合で3通り</t>
  </si>
  <si>
    <t>全体の場合の数</t>
  </si>
  <si>
    <t>A1とA2が等しく、A3が等しくない組合せは、</t>
  </si>
  <si>
    <t>A1とA2の数値の組合せが6通り、A3が異なるのは5通りで30通り</t>
  </si>
  <si>
    <t>3数とも等しくなる場合の数を引く</t>
  </si>
  <si>
    <t>同様にA1とA3が等しくA2が異なる、A2とA3が等しくA1が異なるのは、それぞれ30通り</t>
  </si>
  <si>
    <t>2数が等しくなる場合の数を引く</t>
  </si>
  <si>
    <t>2数が等しくなる他の組合せはない</t>
  </si>
  <si>
    <t>90通り</t>
  </si>
  <si>
    <t>n個のものが全て異なることから、n個それぞれに分配するAかBを紐づけることを考える</t>
  </si>
  <si>
    <t>紐づけ方の全体は</t>
  </si>
  <si>
    <t>2n</t>
  </si>
  <si>
    <t>5個</t>
  </si>
  <si>
    <t>1個目にAかBを紐づけるので2通り</t>
  </si>
  <si>
    <r>
      <rPr>
        <sz val="11"/>
        <color theme="1"/>
        <rFont val="Aptos Narrow"/>
      </rPr>
      <t>2</t>
    </r>
    <r>
      <rPr>
        <vertAlign val="superscript"/>
        <sz val="11"/>
        <color theme="1"/>
        <rFont val="游ゴシック"/>
        <family val="3"/>
        <charset val="128"/>
      </rPr>
      <t>1</t>
    </r>
    <r>
      <rPr>
        <sz val="11"/>
        <color theme="1"/>
        <rFont val="游ゴシック"/>
        <family val="3"/>
        <charset val="128"/>
      </rPr>
      <t>=2</t>
    </r>
  </si>
  <si>
    <t>計2通り</t>
  </si>
  <si>
    <t>2個目にAかBを紐づけるので2通り</t>
  </si>
  <si>
    <r>
      <rPr>
        <sz val="11"/>
        <color theme="1"/>
        <rFont val="Aptos Narrow"/>
      </rPr>
      <t>2</t>
    </r>
    <r>
      <rPr>
        <vertAlign val="superscript"/>
        <sz val="11"/>
        <color theme="1"/>
        <rFont val="游ゴシック"/>
        <family val="3"/>
        <charset val="128"/>
      </rPr>
      <t>2</t>
    </r>
    <r>
      <rPr>
        <sz val="11"/>
        <color theme="1"/>
        <rFont val="游ゴシック"/>
        <family val="3"/>
        <charset val="128"/>
      </rPr>
      <t>=4</t>
    </r>
  </si>
  <si>
    <t>計4通り</t>
  </si>
  <si>
    <t>6個</t>
  </si>
  <si>
    <t>・・・・・・・・・・・・・・・・・・・・・・・・</t>
  </si>
  <si>
    <t>n個目にAかBを紐づけるので2通り</t>
  </si>
  <si>
    <r>
      <rPr>
        <sz val="11"/>
        <color theme="1"/>
        <rFont val="Aptos Narrow"/>
      </rPr>
      <t>2</t>
    </r>
    <r>
      <rPr>
        <vertAlign val="superscript"/>
        <sz val="11"/>
        <color theme="1"/>
        <rFont val="游ゴシック"/>
        <family val="3"/>
        <charset val="128"/>
      </rPr>
      <t>n</t>
    </r>
  </si>
  <si>
    <t>7個</t>
  </si>
  <si>
    <t>全てA、全てBとなる2通りを除外する</t>
  </si>
  <si>
    <r>
      <rPr>
        <sz val="11"/>
        <color theme="1"/>
        <rFont val="Aptos Narrow"/>
      </rPr>
      <t>2</t>
    </r>
    <r>
      <rPr>
        <vertAlign val="superscript"/>
        <sz val="11"/>
        <color theme="1"/>
        <rFont val="游ゴシック"/>
        <family val="3"/>
        <charset val="128"/>
      </rPr>
      <t>n</t>
    </r>
    <r>
      <rPr>
        <sz val="11"/>
        <color theme="1"/>
        <rFont val="游ゴシック"/>
        <family val="3"/>
        <charset val="128"/>
      </rPr>
      <t>-2</t>
    </r>
  </si>
  <si>
    <t>このようにして考えると(ⅱ)の計算に(ⅰ)の解を利用する意味が理解できる</t>
  </si>
  <si>
    <t>n個それぞれに分配するAかBかCを紐づけることを考える</t>
  </si>
  <si>
    <r>
      <rPr>
        <sz val="11"/>
        <color theme="1"/>
        <rFont val="Aptos Narrow"/>
      </rPr>
      <t>3</t>
    </r>
    <r>
      <rPr>
        <vertAlign val="superscript"/>
        <sz val="11"/>
        <color theme="1"/>
        <rFont val="游ゴシック"/>
        <family val="3"/>
        <charset val="128"/>
      </rPr>
      <t>n</t>
    </r>
  </si>
  <si>
    <t>1個目にAかBかCかを紐づけるので3通り</t>
  </si>
  <si>
    <r>
      <rPr>
        <sz val="11"/>
        <color theme="1"/>
        <rFont val="Aptos Narrow"/>
      </rPr>
      <t>3</t>
    </r>
    <r>
      <rPr>
        <vertAlign val="superscript"/>
        <sz val="11"/>
        <color theme="1"/>
        <rFont val="游ゴシック"/>
        <family val="3"/>
        <charset val="128"/>
      </rPr>
      <t>1</t>
    </r>
    <r>
      <rPr>
        <sz val="11"/>
        <color theme="1"/>
        <rFont val="游ゴシック"/>
        <family val="3"/>
        <charset val="128"/>
      </rPr>
      <t>=3</t>
    </r>
  </si>
  <si>
    <t>計3通り</t>
  </si>
  <si>
    <t>2個目にAかBかCかを紐づけるので3通り</t>
  </si>
  <si>
    <r>
      <rPr>
        <sz val="11"/>
        <color theme="1"/>
        <rFont val="Aptos Narrow"/>
      </rPr>
      <t>3</t>
    </r>
    <r>
      <rPr>
        <vertAlign val="superscript"/>
        <sz val="11"/>
        <color theme="1"/>
        <rFont val="游ゴシック"/>
        <family val="3"/>
        <charset val="128"/>
      </rPr>
      <t>2</t>
    </r>
    <r>
      <rPr>
        <sz val="11"/>
        <color theme="1"/>
        <rFont val="游ゴシック"/>
        <family val="3"/>
        <charset val="128"/>
      </rPr>
      <t>=9</t>
    </r>
  </si>
  <si>
    <t>計9通り</t>
  </si>
  <si>
    <t>n個目にAかBかCかを紐づけるので3通り</t>
  </si>
  <si>
    <r>
      <rPr>
        <sz val="11"/>
        <color theme="1"/>
        <rFont val="Aptos Narrow"/>
      </rPr>
      <t>3</t>
    </r>
    <r>
      <rPr>
        <vertAlign val="superscript"/>
        <sz val="11"/>
        <color theme="1"/>
        <rFont val="游ゴシック"/>
        <family val="3"/>
        <charset val="128"/>
      </rPr>
      <t>n</t>
    </r>
  </si>
  <si>
    <t>全てA、全てB、全てCとなる3通りを除外する</t>
  </si>
  <si>
    <r>
      <rPr>
        <sz val="11"/>
        <color theme="1"/>
        <rFont val="Aptos Narrow"/>
      </rPr>
      <t>3</t>
    </r>
    <r>
      <rPr>
        <vertAlign val="superscript"/>
        <sz val="11"/>
        <color theme="1"/>
        <rFont val="游ゴシック"/>
        <family val="3"/>
        <charset val="128"/>
      </rPr>
      <t>n</t>
    </r>
    <r>
      <rPr>
        <sz val="11"/>
        <color theme="1"/>
        <rFont val="游ゴシック"/>
        <family val="3"/>
        <charset val="128"/>
      </rPr>
      <t>-3</t>
    </r>
  </si>
  <si>
    <t>全てAとB、全てBとC、全てCとAとなるのを除外する</t>
  </si>
  <si>
    <t>※これは(ⅰ)の解を利用</t>
  </si>
  <si>
    <t>n個それぞれに分配するAかBかCかDを紐づけることを考える</t>
  </si>
  <si>
    <r>
      <rPr>
        <sz val="11"/>
        <color theme="1"/>
        <rFont val="Aptos Narrow"/>
      </rPr>
      <t>4</t>
    </r>
    <r>
      <rPr>
        <vertAlign val="superscript"/>
        <sz val="11"/>
        <color theme="1"/>
        <rFont val="游ゴシック"/>
        <family val="3"/>
        <charset val="128"/>
      </rPr>
      <t>n</t>
    </r>
  </si>
  <si>
    <t>1個目にAかBかCかDかを紐づけるので4通り</t>
  </si>
  <si>
    <t>2個目にAかBかCかDかを紐づけるので4通り</t>
  </si>
  <si>
    <t>n個目にAかBかCかDかを紐づけるので4通り</t>
  </si>
  <si>
    <t>全てA、全てB、全てC、全てDとなる4通りを除外する</t>
  </si>
  <si>
    <r>
      <rPr>
        <sz val="11"/>
        <color theme="1"/>
        <rFont val="Aptos Narrow"/>
      </rPr>
      <t>4</t>
    </r>
    <r>
      <rPr>
        <vertAlign val="superscript"/>
        <sz val="11"/>
        <color theme="1"/>
        <rFont val="游ゴシック"/>
        <family val="3"/>
        <charset val="128"/>
      </rPr>
      <t>n</t>
    </r>
    <r>
      <rPr>
        <sz val="11"/>
        <color theme="1"/>
        <rFont val="游ゴシック"/>
        <family val="3"/>
        <charset val="128"/>
      </rPr>
      <t>-4</t>
    </r>
  </si>
  <si>
    <t>全てAとB、全てAとC、全てAとD、全てBとC、全てBとD、全てCとDとなるのを除外する</t>
  </si>
  <si>
    <t>全てAとBとC、全てAとBとD、全てAとCとD、全てAとBとCとなるのを除外する</t>
  </si>
  <si>
    <t>※これは(ⅱ)の解を利用</t>
  </si>
  <si>
    <t>白</t>
  </si>
  <si>
    <t>A,B,Cに白球を配る組合せ表</t>
  </si>
  <si>
    <t>黒</t>
  </si>
  <si>
    <t>A,B,Cに黒球を配る組合せ表</t>
  </si>
  <si>
    <t>A</t>
  </si>
  <si>
    <t>B</t>
  </si>
  <si>
    <t>C</t>
  </si>
  <si>
    <t>0の数</t>
  </si>
  <si>
    <t>黒の組合せ数</t>
  </si>
  <si>
    <t>白球を3人に分けるのは、上図のように</t>
  </si>
  <si>
    <t>両端を含めて5球に区切りを2つ取ることに等しい。</t>
  </si>
  <si>
    <t>黒球も同様に考えて36通りとなる。</t>
  </si>
  <si>
    <t>例1</t>
  </si>
  <si>
    <t>Aが1つ</t>
  </si>
  <si>
    <t>Bが2つ</t>
  </si>
  <si>
    <t>Cが2つ</t>
  </si>
  <si>
    <t>白球の一覧から0となっている箇所で場合分けをする</t>
  </si>
  <si>
    <t>①0が2つの場合</t>
  </si>
  <si>
    <t>まず0となっているところに黒球を1つずつ入れる。</t>
  </si>
  <si>
    <t>例2</t>
  </si>
  <si>
    <t>後5個はどう入れても良いので、</t>
  </si>
  <si>
    <t>結局5個を分ける場合の数と同じ21通り</t>
  </si>
  <si>
    <t>組合せの考え方として、以下3つの方法がある</t>
  </si>
  <si>
    <t>②0が1つの場合</t>
  </si>
  <si>
    <t>①まず、同じ個所に2本入れる場合が6通り</t>
  </si>
  <si>
    <t>まず0となっているところに黒球を1つ入れる。</t>
  </si>
  <si>
    <t>後6個はどう入れても良いので28通り</t>
  </si>
  <si>
    <t>※6個を分ける組合せの数が28通り</t>
  </si>
  <si>
    <r>
      <rPr>
        <sz val="11"/>
        <color theme="1"/>
        <rFont val="Aptos Narrow"/>
      </rPr>
      <t>6つの区切りを入れる場所から2つ選ぶのは、</t>
    </r>
    <r>
      <rPr>
        <vertAlign val="subscript"/>
        <sz val="11"/>
        <color theme="1"/>
        <rFont val="游ゴシック"/>
        <family val="3"/>
        <charset val="128"/>
      </rPr>
      <t>6</t>
    </r>
    <r>
      <rPr>
        <sz val="11"/>
        <color theme="1"/>
        <rFont val="游ゴシック"/>
        <family val="3"/>
        <charset val="128"/>
      </rPr>
      <t>C</t>
    </r>
    <r>
      <rPr>
        <vertAlign val="subscript"/>
        <sz val="11"/>
        <color theme="1"/>
        <rFont val="游ゴシック"/>
        <family val="3"/>
        <charset val="128"/>
      </rPr>
      <t>2</t>
    </r>
    <r>
      <rPr>
        <sz val="11"/>
        <color theme="1"/>
        <rFont val="游ゴシック"/>
        <family val="3"/>
        <charset val="128"/>
      </rPr>
      <t>=15</t>
    </r>
  </si>
  <si>
    <t>③0が無い場合</t>
  </si>
  <si>
    <t>併せて21通り</t>
  </si>
  <si>
    <t>この場合は黒はどう分けても良いので36通り</t>
  </si>
  <si>
    <t>②まず、1本目を入れる箇所は6通り</t>
  </si>
  <si>
    <t>2本目は、1本目と同じ個所でも左右の位置もあるため7通り</t>
  </si>
  <si>
    <t>例</t>
  </si>
  <si>
    <t>1本目と2本目の区別は無いため、2で割る</t>
  </si>
  <si>
    <t>従って6*7/2=21</t>
  </si>
  <si>
    <t>③1本目はAとBの区切りと考えると、区切り位置から左がA、右がBとCとなる</t>
  </si>
  <si>
    <t>Aは0</t>
  </si>
  <si>
    <t>BとCで5</t>
  </si>
  <si>
    <t>Aは1</t>
  </si>
  <si>
    <t>BとCで4</t>
  </si>
  <si>
    <t>これを続けて行くと</t>
  </si>
  <si>
    <t>6+5+4+3+2+1=21</t>
  </si>
  <si>
    <t>※この考えが、組み合わせ表と一致している。</t>
  </si>
  <si>
    <t>各人は1度だけ(最後は連絡を受けるだけ)連絡するので、一列の並びを考えるのと同じ</t>
  </si>
  <si>
    <t>1番目はAと決まっているので、残り6人の並び方は6の階乗で720通り</t>
  </si>
  <si>
    <t>B→Cとなっている場合の数は</t>
  </si>
  <si>
    <t>B→C、C→Bとなっている場合の数</t>
  </si>
  <si>
    <t>最初がAで、途中でB→Cと並んでいる場合の数</t>
  </si>
  <si>
    <t>E→F、F→Eとなっている数</t>
  </si>
  <si>
    <t>例A→B→C→〇→〇→〇→〇</t>
  </si>
  <si>
    <t>残り4つは任意なので24通り</t>
  </si>
  <si>
    <t>(B→CまたはC→B)かつ(E→FまたはF→E)となっている数</t>
  </si>
  <si>
    <t>B→Cの位置は、Bが2番目から6番目の5通りとなる</t>
  </si>
  <si>
    <t>これらを集合(ベン図)で表すと下図のようになる</t>
  </si>
  <si>
    <t>以上により120通り</t>
  </si>
  <si>
    <t>同様にC→B、E→F、F→Eも120通り</t>
  </si>
  <si>
    <t>重なっている箇所、B→CとE→Fが同時に並ぶ場合は、</t>
  </si>
  <si>
    <t>例A→B→C→E→F→〇→〇</t>
  </si>
  <si>
    <t>残り2つは任意で2通り</t>
  </si>
  <si>
    <t>E→FはA→B→Cの後に3通りの場合があるため、合計6通り</t>
  </si>
  <si>
    <t>A→〇→B→C→E→F→〇</t>
  </si>
  <si>
    <t>A→〇→〇→B→C→E→F</t>
  </si>
  <si>
    <t>2通り</t>
  </si>
  <si>
    <t>ここまでの合計は12通り</t>
  </si>
  <si>
    <t>逆に先にE→Fとなる場合も同じため、12通り</t>
  </si>
  <si>
    <t>B→CとF→Eが同時に並ぶ場合の合計が24通り</t>
  </si>
  <si>
    <t>C→BとE→Fが同時に並ぶ場合の合計が24通り</t>
  </si>
  <si>
    <t>C→BとF→Eが同時に並ぶ場合の合計が24通り</t>
  </si>
  <si>
    <t>720-120*4+24*4=336通り</t>
  </si>
  <si>
    <t>15通り</t>
  </si>
  <si>
    <t>奇数</t>
  </si>
  <si>
    <t>3通り</t>
  </si>
  <si>
    <t>1通り</t>
  </si>
  <si>
    <t>取り去ることが出来る数をまず考える</t>
  </si>
  <si>
    <t>【1】</t>
  </si>
  <si>
    <t>1つずつ取る場合</t>
  </si>
  <si>
    <t>偶数</t>
  </si>
  <si>
    <t>OK</t>
  </si>
  <si>
    <t>4、6、8、10</t>
  </si>
  <si>
    <t>？</t>
  </si>
  <si>
    <t>3つずつ取れるかを検討する</t>
  </si>
  <si>
    <t>奇数の取り方は1、3、5のような連続</t>
  </si>
  <si>
    <t>残りの偶数で取れるのは8と10だけ</t>
  </si>
  <si>
    <t>計24通り</t>
  </si>
  <si>
    <t>1、3、7の場合は、</t>
  </si>
  <si>
    <t>残りで取れる偶数は、10だけ</t>
  </si>
  <si>
    <t>2つずつ取る場合</t>
  </si>
  <si>
    <t>1、5、9のような1つ飛ばし</t>
  </si>
  <si>
    <t>計27通り</t>
  </si>
  <si>
    <t>1つ飛ばしの場合は偶数は1つも取れない</t>
  </si>
  <si>
    <t>1と3</t>
  </si>
  <si>
    <t>6、8、10から2つ</t>
  </si>
  <si>
    <t>従って奇数、偶数で取れる組合せは1つか2つ</t>
  </si>
  <si>
    <t>1と5</t>
  </si>
  <si>
    <t>8と10しかとれない</t>
  </si>
  <si>
    <t>1と7</t>
  </si>
  <si>
    <t>4と10しか取れない</t>
  </si>
  <si>
    <t>1と9</t>
  </si>
  <si>
    <t>1と11</t>
  </si>
  <si>
    <t>51通り</t>
  </si>
  <si>
    <t>(ⅰ)</t>
  </si>
  <si>
    <t>白い碁石を12個を並べて5個黒の碁石と入れ替える</t>
  </si>
  <si>
    <t>黒い碁石を12個を並べて7個白の碁石と入れ替える</t>
  </si>
  <si>
    <t>上2つは同じ組み合わせとなる</t>
  </si>
  <si>
    <t>ここからCの考えで良いと分かるため</t>
  </si>
  <si>
    <t>792通りとなる</t>
  </si>
  <si>
    <t>(ⅱ)</t>
  </si>
  <si>
    <t>左から数えるとすると、はじめの2つは白の碁石と決まる</t>
  </si>
  <si>
    <t>1つ目</t>
  </si>
  <si>
    <t>2つ目</t>
  </si>
  <si>
    <t>3つ目</t>
  </si>
  <si>
    <t>4つ目</t>
  </si>
  <si>
    <t>5つ目</t>
  </si>
  <si>
    <t>6つ目</t>
  </si>
  <si>
    <t>7つ目</t>
  </si>
  <si>
    <t>8つ目</t>
  </si>
  <si>
    <t>9つ目</t>
  </si>
  <si>
    <t>10つ目</t>
  </si>
  <si>
    <t>11つ目</t>
  </si>
  <si>
    <t>12つ目</t>
  </si>
  <si>
    <t>③</t>
  </si>
  <si>
    <t>④</t>
  </si>
  <si>
    <r>
      <t>A</t>
    </r>
    <r>
      <rPr>
        <b/>
        <sz val="18"/>
        <color theme="1"/>
        <rFont val="游ゴシック"/>
        <family val="2"/>
        <charset val="128"/>
      </rPr>
      <t>、</t>
    </r>
    <r>
      <rPr>
        <b/>
        <sz val="18"/>
        <color theme="1"/>
        <rFont val="Aptos Narrow"/>
        <family val="2"/>
        <scheme val="minor"/>
      </rPr>
      <t>B</t>
    </r>
    <r>
      <rPr>
        <b/>
        <sz val="18"/>
        <color theme="1"/>
        <rFont val="游ゴシック"/>
        <family val="2"/>
        <charset val="128"/>
      </rPr>
      <t>、</t>
    </r>
    <r>
      <rPr>
        <b/>
        <sz val="18"/>
        <color theme="1"/>
        <rFont val="Aptos Narrow"/>
        <family val="2"/>
        <scheme val="minor"/>
      </rPr>
      <t>C</t>
    </r>
    <r>
      <rPr>
        <b/>
        <sz val="18"/>
        <color theme="1"/>
        <rFont val="ＭＳ ゴシック"/>
        <family val="3"/>
        <charset val="128"/>
      </rPr>
      <t>の</t>
    </r>
    <r>
      <rPr>
        <b/>
        <sz val="18"/>
        <color theme="1"/>
        <rFont val="Aptos Narrow"/>
        <family val="2"/>
        <scheme val="minor"/>
      </rPr>
      <t>3</t>
    </r>
    <r>
      <rPr>
        <b/>
        <sz val="18"/>
        <color theme="1"/>
        <rFont val="ＭＳ ゴシック"/>
        <family val="3"/>
        <charset val="128"/>
      </rPr>
      <t>つの箱に、白球</t>
    </r>
    <r>
      <rPr>
        <b/>
        <sz val="18"/>
        <color theme="1"/>
        <rFont val="Aptos Narrow"/>
        <family val="2"/>
        <scheme val="minor"/>
      </rPr>
      <t>5</t>
    </r>
    <r>
      <rPr>
        <b/>
        <sz val="18"/>
        <color theme="1"/>
        <rFont val="ＭＳ ゴシック"/>
        <family val="3"/>
        <charset val="128"/>
      </rPr>
      <t>個</t>
    </r>
    <r>
      <rPr>
        <b/>
        <sz val="18"/>
        <color theme="1"/>
        <rFont val="游ゴシック"/>
        <family val="3"/>
        <charset val="128"/>
      </rPr>
      <t>、</t>
    </r>
    <r>
      <rPr>
        <b/>
        <sz val="18"/>
        <color theme="1"/>
        <rFont val="ＭＳ ゴシック"/>
        <family val="3"/>
        <charset val="128"/>
      </rPr>
      <t>黒球</t>
    </r>
    <r>
      <rPr>
        <b/>
        <sz val="18"/>
        <color theme="1"/>
        <rFont val="Aptos Narrow"/>
        <family val="2"/>
        <scheme val="minor"/>
      </rPr>
      <t>7</t>
    </r>
    <r>
      <rPr>
        <b/>
        <sz val="18"/>
        <color theme="1"/>
        <rFont val="ＭＳ ゴシック"/>
        <family val="3"/>
        <charset val="128"/>
      </rPr>
      <t>個をいれる方法はいくとおりあるか。</t>
    </r>
    <r>
      <rPr>
        <b/>
        <sz val="18"/>
        <color theme="1"/>
        <rFont val="Aptos Narrow"/>
        <family val="2"/>
        <scheme val="minor"/>
      </rPr>
      <t xml:space="preserve"> </t>
    </r>
    <phoneticPr fontId="8"/>
  </si>
  <si>
    <r>
      <rPr>
        <b/>
        <sz val="18"/>
        <color theme="1"/>
        <rFont val="ＭＳ ゴシック"/>
        <family val="3"/>
        <charset val="128"/>
      </rPr>
      <t>ただし、</t>
    </r>
    <r>
      <rPr>
        <b/>
        <sz val="18"/>
        <color theme="1"/>
        <rFont val="Aptos Narrow"/>
        <family val="2"/>
        <scheme val="minor"/>
      </rPr>
      <t>1</t>
    </r>
    <r>
      <rPr>
        <b/>
        <sz val="18"/>
        <color theme="1"/>
        <rFont val="ＭＳ ゴシック"/>
        <family val="3"/>
        <charset val="128"/>
      </rPr>
      <t>球もいれない箱はないものとする。</t>
    </r>
    <phoneticPr fontId="8"/>
  </si>
  <si>
    <t>（ⅰ）</t>
    <phoneticPr fontId="8"/>
  </si>
  <si>
    <t>（ⅱ）</t>
    <phoneticPr fontId="8"/>
  </si>
  <si>
    <t>（ⅲ）</t>
    <phoneticPr fontId="8"/>
  </si>
  <si>
    <t>その個数はいくつあるか。</t>
    <phoneticPr fontId="8"/>
  </si>
  <si>
    <t>つぎの問いにこたえよ。</t>
    <phoneticPr fontId="8"/>
  </si>
  <si>
    <r>
      <rPr>
        <sz val="11"/>
        <color theme="1"/>
        <rFont val="ＭＳ ゴシック"/>
        <family val="3"/>
        <charset val="128"/>
      </rPr>
      <t>左から順に数を</t>
    </r>
    <r>
      <rPr>
        <sz val="11"/>
        <color theme="1"/>
        <rFont val="Aptos Narrow"/>
        <family val="2"/>
        <scheme val="minor"/>
      </rPr>
      <t>4</t>
    </r>
    <r>
      <rPr>
        <sz val="11"/>
        <color theme="1"/>
        <rFont val="ＭＳ ゴシック"/>
        <family val="3"/>
        <charset val="128"/>
      </rPr>
      <t>つ入れる箇所</t>
    </r>
    <r>
      <rPr>
        <sz val="11"/>
        <color theme="1"/>
        <rFont val="Aptos Narrow"/>
        <family val="2"/>
        <scheme val="minor"/>
      </rPr>
      <t>(</t>
    </r>
    <r>
      <rPr>
        <sz val="11"/>
        <color theme="1"/>
        <rFont val="ＭＳ ゴシック"/>
        <family val="3"/>
        <charset val="128"/>
      </rPr>
      <t>箱</t>
    </r>
    <r>
      <rPr>
        <sz val="11"/>
        <color theme="1"/>
        <rFont val="Aptos Narrow"/>
        <family val="2"/>
        <scheme val="minor"/>
      </rPr>
      <t>A</t>
    </r>
    <r>
      <rPr>
        <sz val="11"/>
        <color theme="1"/>
        <rFont val="ＭＳ ゴシック"/>
        <family val="3"/>
        <charset val="128"/>
      </rPr>
      <t>、</t>
    </r>
    <r>
      <rPr>
        <sz val="11"/>
        <color theme="1"/>
        <rFont val="Aptos Narrow"/>
        <family val="2"/>
        <scheme val="minor"/>
      </rPr>
      <t>B</t>
    </r>
    <r>
      <rPr>
        <sz val="11"/>
        <color theme="1"/>
        <rFont val="ＭＳ ゴシック"/>
        <family val="3"/>
        <charset val="128"/>
      </rPr>
      <t>、</t>
    </r>
    <r>
      <rPr>
        <sz val="11"/>
        <color theme="1"/>
        <rFont val="Aptos Narrow"/>
        <family val="2"/>
        <scheme val="minor"/>
      </rPr>
      <t>C</t>
    </r>
    <r>
      <rPr>
        <sz val="11"/>
        <color theme="1"/>
        <rFont val="ＭＳ ゴシック"/>
        <family val="3"/>
        <charset val="128"/>
      </rPr>
      <t>、</t>
    </r>
    <r>
      <rPr>
        <sz val="11"/>
        <color theme="1"/>
        <rFont val="Aptos Narrow"/>
        <family val="2"/>
        <scheme val="minor"/>
      </rPr>
      <t>D)</t>
    </r>
    <r>
      <rPr>
        <sz val="11"/>
        <color theme="1"/>
        <rFont val="ＭＳ ゴシック"/>
        <family val="3"/>
        <charset val="128"/>
      </rPr>
      <t>があると考える。</t>
    </r>
    <phoneticPr fontId="8"/>
  </si>
  <si>
    <r>
      <t>1</t>
    </r>
    <r>
      <rPr>
        <b/>
        <sz val="16"/>
        <color theme="1"/>
        <rFont val="游ゴシック"/>
        <family val="2"/>
        <charset val="128"/>
      </rPr>
      <t>、</t>
    </r>
    <r>
      <rPr>
        <b/>
        <sz val="16"/>
        <color theme="1"/>
        <rFont val="Aptos Narrow"/>
        <family val="2"/>
        <scheme val="minor"/>
      </rPr>
      <t>2</t>
    </r>
    <r>
      <rPr>
        <b/>
        <sz val="16"/>
        <color theme="1"/>
        <rFont val="游ゴシック"/>
        <family val="2"/>
        <charset val="128"/>
      </rPr>
      <t>、</t>
    </r>
    <r>
      <rPr>
        <b/>
        <sz val="16"/>
        <color theme="1"/>
        <rFont val="Aptos Narrow"/>
        <family val="2"/>
        <scheme val="minor"/>
      </rPr>
      <t>3</t>
    </r>
    <r>
      <rPr>
        <b/>
        <sz val="16"/>
        <color theme="1"/>
        <rFont val="游ゴシック"/>
        <family val="2"/>
        <charset val="128"/>
      </rPr>
      <t>、</t>
    </r>
    <r>
      <rPr>
        <b/>
        <sz val="16"/>
        <color theme="1"/>
        <rFont val="Aptos Narrow"/>
        <family val="2"/>
        <scheme val="minor"/>
      </rPr>
      <t>4</t>
    </r>
    <r>
      <rPr>
        <b/>
        <sz val="16"/>
        <color theme="1"/>
        <rFont val="游ゴシック"/>
        <family val="2"/>
        <charset val="128"/>
      </rPr>
      <t>、</t>
    </r>
    <r>
      <rPr>
        <b/>
        <sz val="16"/>
        <color theme="1"/>
        <rFont val="Aptos Narrow"/>
        <family val="2"/>
        <scheme val="minor"/>
      </rPr>
      <t>5</t>
    </r>
    <r>
      <rPr>
        <b/>
        <sz val="16"/>
        <color theme="1"/>
        <rFont val="游ゴシック"/>
        <family val="2"/>
        <charset val="128"/>
      </rPr>
      <t>、</t>
    </r>
    <r>
      <rPr>
        <b/>
        <sz val="16"/>
        <color theme="1"/>
        <rFont val="Aptos Narrow"/>
        <family val="2"/>
        <scheme val="minor"/>
      </rPr>
      <t>6</t>
    </r>
    <r>
      <rPr>
        <b/>
        <sz val="16"/>
        <color theme="1"/>
        <rFont val="游ゴシック"/>
        <family val="2"/>
        <charset val="128"/>
      </rPr>
      <t>、</t>
    </r>
    <r>
      <rPr>
        <b/>
        <sz val="16"/>
        <color theme="1"/>
        <rFont val="Aptos Narrow"/>
        <family val="2"/>
        <scheme val="minor"/>
      </rPr>
      <t>7</t>
    </r>
    <r>
      <rPr>
        <b/>
        <sz val="16"/>
        <color theme="1"/>
        <rFont val="ＭＳ ゴシック"/>
        <family val="3"/>
        <charset val="128"/>
      </rPr>
      <t>から異なる</t>
    </r>
    <r>
      <rPr>
        <b/>
        <sz val="16"/>
        <color theme="1"/>
        <rFont val="Aptos Narrow"/>
        <family val="2"/>
        <scheme val="minor"/>
      </rPr>
      <t>4</t>
    </r>
    <r>
      <rPr>
        <b/>
        <sz val="16"/>
        <color theme="1"/>
        <rFont val="ＭＳ ゴシック"/>
        <family val="3"/>
        <charset val="128"/>
      </rPr>
      <t>つの数字をとってつくられる</t>
    </r>
    <r>
      <rPr>
        <b/>
        <sz val="16"/>
        <color theme="1"/>
        <rFont val="Aptos Narrow"/>
        <family val="2"/>
        <scheme val="minor"/>
      </rPr>
      <t xml:space="preserve"> 4</t>
    </r>
    <r>
      <rPr>
        <b/>
        <sz val="16"/>
        <color theme="1"/>
        <rFont val="ＭＳ ゴシック"/>
        <family val="3"/>
        <charset val="128"/>
      </rPr>
      <t>桁の整数について、</t>
    </r>
    <phoneticPr fontId="8"/>
  </si>
  <si>
    <r>
      <t>4567</t>
    </r>
    <r>
      <rPr>
        <b/>
        <sz val="16"/>
        <color theme="1"/>
        <rFont val="ＭＳ ゴシック"/>
        <family val="3"/>
        <charset val="128"/>
      </rPr>
      <t>より大きいものはいくつあるか</t>
    </r>
    <r>
      <rPr>
        <b/>
        <sz val="16"/>
        <color theme="1"/>
        <rFont val="游ゴシック"/>
        <family val="2"/>
        <charset val="128"/>
      </rPr>
      <t>。</t>
    </r>
    <phoneticPr fontId="8"/>
  </si>
  <si>
    <r>
      <rPr>
        <b/>
        <sz val="16"/>
        <color theme="1"/>
        <rFont val="ＭＳ ゴシック"/>
        <family val="3"/>
        <charset val="128"/>
      </rPr>
      <t>小さいほうから順にならべたとき、第</t>
    </r>
    <r>
      <rPr>
        <b/>
        <sz val="16"/>
        <color theme="1"/>
        <rFont val="Aptos Narrow"/>
        <family val="2"/>
        <scheme val="minor"/>
      </rPr>
      <t>432</t>
    </r>
    <r>
      <rPr>
        <b/>
        <sz val="16"/>
        <color theme="1"/>
        <rFont val="ＭＳ ゴシック"/>
        <family val="3"/>
        <charset val="128"/>
      </rPr>
      <t>番目にくるものはな</t>
    </r>
    <r>
      <rPr>
        <b/>
        <sz val="16"/>
        <color theme="1"/>
        <rFont val="Aptos Narrow"/>
        <family val="2"/>
        <scheme val="minor"/>
      </rPr>
      <t xml:space="preserve"> </t>
    </r>
    <r>
      <rPr>
        <b/>
        <sz val="16"/>
        <color theme="1"/>
        <rFont val="ＭＳ ゴシック"/>
        <family val="3"/>
        <charset val="128"/>
      </rPr>
      <t>にか。</t>
    </r>
    <phoneticPr fontId="8"/>
  </si>
  <si>
    <t>【補足】</t>
    <phoneticPr fontId="8"/>
  </si>
  <si>
    <r>
      <t>46××</t>
    </r>
    <r>
      <rPr>
        <sz val="11"/>
        <color theme="1"/>
        <rFont val="ＭＳ ゴシック"/>
        <family val="3"/>
        <charset val="128"/>
      </rPr>
      <t>、</t>
    </r>
    <r>
      <rPr>
        <sz val="11"/>
        <color theme="1"/>
        <rFont val="Aptos Narrow"/>
        <family val="2"/>
        <scheme val="minor"/>
      </rPr>
      <t>47××</t>
    </r>
    <r>
      <rPr>
        <sz val="11"/>
        <color theme="1"/>
        <rFont val="ＭＳ ゴシック"/>
        <family val="3"/>
        <charset val="128"/>
      </rPr>
      <t>となるもの</t>
    </r>
    <phoneticPr fontId="8"/>
  </si>
  <si>
    <r>
      <t>45**、46××</t>
    </r>
    <r>
      <rPr>
        <sz val="11"/>
        <color theme="1"/>
        <rFont val="ＭＳ ゴシック"/>
        <family val="3"/>
        <charset val="128"/>
      </rPr>
      <t>、</t>
    </r>
    <r>
      <rPr>
        <sz val="11"/>
        <color theme="1"/>
        <rFont val="Aptos Narrow"/>
        <scheme val="minor"/>
      </rPr>
      <t>47××</t>
    </r>
    <r>
      <rPr>
        <sz val="11"/>
        <color theme="1"/>
        <rFont val="ＭＳ ゴシック"/>
        <family val="3"/>
        <charset val="128"/>
      </rPr>
      <t>となるものが</t>
    </r>
    <r>
      <rPr>
        <sz val="11"/>
        <color theme="1"/>
        <rFont val="Aptos Narrow"/>
        <family val="3"/>
      </rPr>
      <t>60</t>
    </r>
    <r>
      <rPr>
        <sz val="11"/>
        <color theme="1"/>
        <rFont val="ＭＳ Ｐゴシック"/>
        <family val="3"/>
        <charset val="128"/>
      </rPr>
      <t>通りとしてしまい、</t>
    </r>
    <rPh sb="22" eb="23">
      <t>トオ</t>
    </rPh>
    <phoneticPr fontId="8"/>
  </si>
  <si>
    <t>360+60=420通りを回答としてしまうことがある</t>
    <rPh sb="10" eb="11">
      <t>トオ</t>
    </rPh>
    <rPh sb="13" eb="15">
      <t>カイトウ</t>
    </rPh>
    <phoneticPr fontId="8"/>
  </si>
  <si>
    <t>これは場合分けが不十分で、457×となるものは4通りしかないが、</t>
    <rPh sb="3" eb="5">
      <t>バアイ</t>
    </rPh>
    <rPh sb="5" eb="6">
      <t>ワ</t>
    </rPh>
    <rPh sb="8" eb="11">
      <t>フジュウブン</t>
    </rPh>
    <phoneticPr fontId="8"/>
  </si>
  <si>
    <t>このことを、計算によって、つぎに計算によらずに説明せよ。</t>
    <phoneticPr fontId="8"/>
  </si>
  <si>
    <r>
      <t>1, 1, 1, 2, 2, 3, 3</t>
    </r>
    <r>
      <rPr>
        <b/>
        <sz val="18"/>
        <color theme="1"/>
        <rFont val="ＭＳ ゴシック"/>
        <family val="3"/>
        <charset val="128"/>
      </rPr>
      <t>の</t>
    </r>
    <r>
      <rPr>
        <b/>
        <sz val="18"/>
        <color theme="1"/>
        <rFont val="Aptos Narrow"/>
        <family val="2"/>
        <scheme val="minor"/>
      </rPr>
      <t>7</t>
    </r>
    <r>
      <rPr>
        <b/>
        <sz val="18"/>
        <color theme="1"/>
        <rFont val="ＭＳ ゴシック"/>
        <family val="3"/>
        <charset val="128"/>
      </rPr>
      <t>個の数字をもちいてえられる</t>
    </r>
    <r>
      <rPr>
        <b/>
        <sz val="18"/>
        <color theme="1"/>
        <rFont val="Aptos Narrow"/>
        <family val="2"/>
        <scheme val="minor"/>
      </rPr>
      <t xml:space="preserve"> 7</t>
    </r>
    <r>
      <rPr>
        <b/>
        <sz val="18"/>
        <color theme="1"/>
        <rFont val="ＭＳ ゴシック"/>
        <family val="3"/>
        <charset val="128"/>
      </rPr>
      <t>桁の</t>
    </r>
    <r>
      <rPr>
        <b/>
        <sz val="18"/>
        <color theme="1"/>
        <rFont val="Aptos Narrow"/>
        <family val="2"/>
        <scheme val="minor"/>
      </rPr>
      <t xml:space="preserve"> </t>
    </r>
    <r>
      <rPr>
        <b/>
        <sz val="18"/>
        <color theme="1"/>
        <rFont val="ＭＳ ゴシック"/>
        <family val="3"/>
        <charset val="128"/>
      </rPr>
      <t>整数の個数と、</t>
    </r>
    <phoneticPr fontId="8"/>
  </si>
  <si>
    <r>
      <rPr>
        <b/>
        <sz val="18"/>
        <color theme="1"/>
        <rFont val="ＭＳ ゴシック"/>
        <family val="3"/>
        <charset val="128"/>
      </rPr>
      <t>おなじ</t>
    </r>
    <r>
      <rPr>
        <b/>
        <sz val="18"/>
        <color theme="1"/>
        <rFont val="Aptos Narrow"/>
        <family val="2"/>
        <scheme val="minor"/>
      </rPr>
      <t>7</t>
    </r>
    <r>
      <rPr>
        <b/>
        <sz val="18"/>
        <color theme="1"/>
        <rFont val="ＭＳ ゴシック"/>
        <family val="3"/>
        <charset val="128"/>
      </rPr>
      <t>個の数字をもちいてえられる</t>
    </r>
    <r>
      <rPr>
        <b/>
        <sz val="18"/>
        <color theme="1"/>
        <rFont val="Aptos Narrow"/>
        <family val="2"/>
        <scheme val="minor"/>
      </rPr>
      <t>6</t>
    </r>
    <r>
      <rPr>
        <b/>
        <sz val="18"/>
        <color theme="1"/>
        <rFont val="ＭＳ ゴシック"/>
        <family val="3"/>
        <charset val="128"/>
      </rPr>
      <t>桁の整数の個</t>
    </r>
    <r>
      <rPr>
        <b/>
        <sz val="18"/>
        <color theme="1"/>
        <rFont val="Aptos Narrow"/>
        <family val="2"/>
        <scheme val="minor"/>
      </rPr>
      <t xml:space="preserve"> </t>
    </r>
    <r>
      <rPr>
        <b/>
        <sz val="18"/>
        <color theme="1"/>
        <rFont val="ＭＳ ゴシック"/>
        <family val="3"/>
        <charset val="128"/>
      </rPr>
      <t>数は等しい。</t>
    </r>
    <phoneticPr fontId="8"/>
  </si>
  <si>
    <r>
      <rPr>
        <sz val="11"/>
        <color theme="1"/>
        <rFont val="ＭＳ ゴシック"/>
        <family val="3"/>
        <charset val="128"/>
      </rPr>
      <t>この一覧にない</t>
    </r>
    <r>
      <rPr>
        <sz val="11"/>
        <color theme="1"/>
        <rFont val="Arial"/>
        <family val="2"/>
      </rPr>
      <t>6</t>
    </r>
    <r>
      <rPr>
        <sz val="11"/>
        <color theme="1"/>
        <rFont val="ＭＳ ゴシック"/>
        <family val="3"/>
        <charset val="128"/>
      </rPr>
      <t>桁の数があるとしよう</t>
    </r>
    <phoneticPr fontId="8"/>
  </si>
  <si>
    <t>したがつて、6桁と7桁の数は同じとなる</t>
    <rPh sb="7" eb="8">
      <t>ケタ</t>
    </rPh>
    <rPh sb="10" eb="11">
      <t>ケタ</t>
    </rPh>
    <rPh sb="12" eb="13">
      <t>カズ</t>
    </rPh>
    <rPh sb="14" eb="15">
      <t>オナ</t>
    </rPh>
    <phoneticPr fontId="8"/>
  </si>
  <si>
    <t>【補足1】</t>
    <phoneticPr fontId="8"/>
  </si>
  <si>
    <t>【補足2】</t>
  </si>
  <si>
    <r>
      <t xml:space="preserve">1, 2, 3 </t>
    </r>
    <r>
      <rPr>
        <b/>
        <sz val="18"/>
        <color theme="1"/>
        <rFont val="游ゴシック"/>
        <family val="3"/>
        <charset val="128"/>
      </rPr>
      <t>の数字それぞれ</t>
    </r>
    <r>
      <rPr>
        <b/>
        <sz val="18"/>
        <color theme="1"/>
        <rFont val="Aptos Narrow"/>
        <family val="2"/>
        <scheme val="minor"/>
      </rPr>
      <t>3</t>
    </r>
    <r>
      <rPr>
        <b/>
        <sz val="18"/>
        <color theme="1"/>
        <rFont val="游ゴシック"/>
        <family val="3"/>
        <charset val="128"/>
      </rPr>
      <t>個ずつを</t>
    </r>
    <r>
      <rPr>
        <b/>
        <sz val="18"/>
        <color theme="1"/>
        <rFont val="Aptos Narrow"/>
        <family val="2"/>
        <scheme val="minor"/>
      </rPr>
      <t>3行3列にならべて、</t>
    </r>
    <phoneticPr fontId="8"/>
  </si>
  <si>
    <r>
      <t>[</t>
    </r>
    <r>
      <rPr>
        <b/>
        <sz val="18"/>
        <color theme="1"/>
        <rFont val="游ゴシック"/>
        <family val="2"/>
        <charset val="128"/>
      </rPr>
      <t>例</t>
    </r>
    <r>
      <rPr>
        <b/>
        <sz val="18"/>
        <color theme="1"/>
        <rFont val="Aptos Narrow"/>
        <family val="2"/>
        <scheme val="minor"/>
      </rPr>
      <t>]</t>
    </r>
    <rPh sb="1" eb="2">
      <t>レイ</t>
    </rPh>
    <phoneticPr fontId="8"/>
  </si>
  <si>
    <r>
      <rPr>
        <b/>
        <sz val="18"/>
        <color theme="1"/>
        <rFont val="ＭＳ ゴシック"/>
        <family val="3"/>
        <charset val="128"/>
      </rPr>
      <t>各行のあらわす</t>
    </r>
    <r>
      <rPr>
        <b/>
        <sz val="18"/>
        <color theme="1"/>
        <rFont val="Aptos Narrow"/>
        <family val="2"/>
        <scheme val="minor"/>
      </rPr>
      <t>3</t>
    </r>
    <r>
      <rPr>
        <b/>
        <sz val="18"/>
        <color theme="1"/>
        <rFont val="ＭＳ ゴシック"/>
        <family val="3"/>
        <charset val="128"/>
      </rPr>
      <t>桁の整数を</t>
    </r>
    <r>
      <rPr>
        <b/>
        <sz val="18"/>
        <color theme="1"/>
        <rFont val="Aptos Narrow"/>
        <family val="2"/>
        <scheme val="minor"/>
      </rPr>
      <t xml:space="preserve"> A1, A2, A3 </t>
    </r>
    <r>
      <rPr>
        <b/>
        <sz val="18"/>
        <color theme="1"/>
        <rFont val="ＭＳ ゴシック"/>
        <family val="3"/>
        <charset val="128"/>
      </rPr>
      <t>とする</t>
    </r>
    <r>
      <rPr>
        <b/>
        <sz val="18"/>
        <color theme="1"/>
        <rFont val="Aptos Narrow"/>
        <family val="2"/>
        <scheme val="minor"/>
      </rPr>
      <t>.</t>
    </r>
    <phoneticPr fontId="8"/>
  </si>
  <si>
    <r>
      <t>[</t>
    </r>
    <r>
      <rPr>
        <b/>
        <sz val="18"/>
        <color theme="1"/>
        <rFont val="ＭＳ ゴシック"/>
        <family val="3"/>
        <charset val="128"/>
      </rPr>
      <t>例では</t>
    </r>
    <r>
      <rPr>
        <b/>
        <sz val="18"/>
        <color theme="1"/>
        <rFont val="Aptos Narrow"/>
        <family val="2"/>
        <scheme val="minor"/>
      </rPr>
      <t xml:space="preserve"> A1=133</t>
    </r>
    <r>
      <rPr>
        <b/>
        <sz val="18"/>
        <color theme="1"/>
        <rFont val="游ゴシック"/>
        <family val="3"/>
        <charset val="128"/>
      </rPr>
      <t>、</t>
    </r>
    <r>
      <rPr>
        <b/>
        <sz val="18"/>
        <color theme="1"/>
        <rFont val="Aptos Narrow"/>
        <family val="2"/>
        <scheme val="minor"/>
      </rPr>
      <t>A2=212</t>
    </r>
    <r>
      <rPr>
        <b/>
        <sz val="18"/>
        <color theme="1"/>
        <rFont val="游ゴシック"/>
        <family val="3"/>
        <charset val="128"/>
      </rPr>
      <t>、</t>
    </r>
    <r>
      <rPr>
        <b/>
        <sz val="18"/>
        <color theme="1"/>
        <rFont val="Aptos Narrow"/>
        <family val="2"/>
        <scheme val="minor"/>
      </rPr>
      <t>A3=132]</t>
    </r>
    <phoneticPr fontId="8"/>
  </si>
  <si>
    <r>
      <t>Al</t>
    </r>
    <r>
      <rPr>
        <b/>
        <sz val="18"/>
        <color theme="1"/>
        <rFont val="游ゴシック"/>
        <family val="3"/>
        <charset val="128"/>
      </rPr>
      <t>、</t>
    </r>
    <r>
      <rPr>
        <b/>
        <sz val="18"/>
        <color theme="1"/>
        <rFont val="Aptos Narrow"/>
        <family val="2"/>
        <scheme val="minor"/>
      </rPr>
      <t>A2</t>
    </r>
    <r>
      <rPr>
        <b/>
        <sz val="18"/>
        <color theme="1"/>
        <rFont val="游ゴシック"/>
        <family val="3"/>
        <charset val="128"/>
      </rPr>
      <t>、</t>
    </r>
    <r>
      <rPr>
        <b/>
        <sz val="18"/>
        <color theme="1"/>
        <rFont val="Aptos Narrow"/>
        <family val="2"/>
        <scheme val="minor"/>
      </rPr>
      <t xml:space="preserve">A3 </t>
    </r>
    <r>
      <rPr>
        <b/>
        <sz val="18"/>
        <color theme="1"/>
        <rFont val="ＭＳ ゴシック"/>
        <family val="3"/>
        <charset val="128"/>
      </rPr>
      <t>のどの</t>
    </r>
    <r>
      <rPr>
        <b/>
        <sz val="18"/>
        <color theme="1"/>
        <rFont val="Aptos Narrow"/>
        <family val="2"/>
        <scheme val="minor"/>
      </rPr>
      <t>2</t>
    </r>
    <r>
      <rPr>
        <b/>
        <sz val="18"/>
        <color theme="1"/>
        <rFont val="ＭＳ ゴシック"/>
        <family val="3"/>
        <charset val="128"/>
      </rPr>
      <t>数も等しくない並べ</t>
    </r>
    <r>
      <rPr>
        <b/>
        <sz val="18"/>
        <color theme="1"/>
        <rFont val="Aptos Narrow"/>
        <family val="2"/>
        <scheme val="minor"/>
      </rPr>
      <t xml:space="preserve"> </t>
    </r>
    <r>
      <rPr>
        <b/>
        <sz val="18"/>
        <color theme="1"/>
        <rFont val="ＭＳ ゴシック"/>
        <family val="3"/>
        <charset val="128"/>
      </rPr>
      <t>かたは何通りあるか</t>
    </r>
    <phoneticPr fontId="8"/>
  </si>
  <si>
    <r>
      <rPr>
        <vertAlign val="subscript"/>
        <sz val="11"/>
        <color theme="1"/>
        <rFont val="游ゴシック"/>
        <family val="3"/>
        <charset val="128"/>
      </rPr>
      <t>9</t>
    </r>
    <r>
      <rPr>
        <sz val="11"/>
        <color theme="1"/>
        <rFont val="游ゴシック"/>
        <family val="3"/>
        <charset val="128"/>
      </rPr>
      <t>P</t>
    </r>
    <r>
      <rPr>
        <vertAlign val="subscript"/>
        <sz val="11"/>
        <color theme="1"/>
        <rFont val="游ゴシック"/>
        <family val="3"/>
        <charset val="128"/>
      </rPr>
      <t>9</t>
    </r>
    <r>
      <rPr>
        <sz val="11"/>
        <color theme="1"/>
        <rFont val="游ゴシック"/>
        <family val="3"/>
        <charset val="128"/>
      </rPr>
      <t>=362880</t>
    </r>
    <phoneticPr fontId="8"/>
  </si>
  <si>
    <r>
      <rPr>
        <sz val="11"/>
        <color theme="1"/>
        <rFont val="ＭＳ ゴシック"/>
        <family val="3"/>
        <charset val="128"/>
      </rPr>
      <t>全て異なる数の場合</t>
    </r>
    <r>
      <rPr>
        <sz val="11"/>
        <color theme="1"/>
        <rFont val="游ゴシック"/>
        <family val="3"/>
        <charset val="128"/>
      </rPr>
      <t>は、</t>
    </r>
    <phoneticPr fontId="8"/>
  </si>
  <si>
    <r>
      <rPr>
        <sz val="11"/>
        <color theme="1"/>
        <rFont val="MS UI Gothic"/>
        <family val="3"/>
        <charset val="128"/>
      </rPr>
      <t>※</t>
    </r>
    <r>
      <rPr>
        <sz val="11"/>
        <color theme="1"/>
        <rFont val="Segoe UI Symbol"/>
        <family val="3"/>
      </rPr>
      <t>①</t>
    </r>
    <phoneticPr fontId="8"/>
  </si>
  <si>
    <t>※②</t>
    <phoneticPr fontId="8"/>
  </si>
  <si>
    <t>つぎの各場合に、分配の方法はいくとおりあるか。</t>
  </si>
  <si>
    <r>
      <t>n</t>
    </r>
    <r>
      <rPr>
        <b/>
        <sz val="18"/>
        <color theme="1"/>
        <rFont val="ＭＳ ゴシック"/>
        <family val="3"/>
        <charset val="128"/>
      </rPr>
      <t>個の異なるものを</t>
    </r>
    <r>
      <rPr>
        <b/>
        <sz val="18"/>
        <color theme="1"/>
        <rFont val="Aptos Narrow"/>
        <family val="2"/>
        <scheme val="minor"/>
      </rPr>
      <t>A,B,C,D</t>
    </r>
    <r>
      <rPr>
        <b/>
        <sz val="18"/>
        <color theme="1"/>
        <rFont val="ＭＳ ゴシック"/>
        <family val="3"/>
        <charset val="128"/>
      </rPr>
      <t>の</t>
    </r>
    <r>
      <rPr>
        <b/>
        <sz val="18"/>
        <color theme="1"/>
        <rFont val="Aptos Narrow"/>
        <family val="2"/>
        <scheme val="minor"/>
      </rPr>
      <t>4</t>
    </r>
    <r>
      <rPr>
        <b/>
        <sz val="18"/>
        <color theme="1"/>
        <rFont val="ＭＳ ゴシック"/>
        <family val="3"/>
        <charset val="128"/>
      </rPr>
      <t>人に分配する。</t>
    </r>
    <phoneticPr fontId="8"/>
  </si>
  <si>
    <r>
      <t>A,B</t>
    </r>
    <r>
      <rPr>
        <b/>
        <sz val="18"/>
        <color theme="1"/>
        <rFont val="ＭＳ ゴシック"/>
        <family val="3"/>
        <charset val="128"/>
      </rPr>
      <t>には</t>
    </r>
    <r>
      <rPr>
        <b/>
        <sz val="18"/>
        <color theme="1"/>
        <rFont val="Aptos Narrow"/>
        <family val="2"/>
        <scheme val="minor"/>
      </rPr>
      <t>1</t>
    </r>
    <r>
      <rPr>
        <b/>
        <sz val="18"/>
        <color theme="1"/>
        <rFont val="ＭＳ ゴシック"/>
        <family val="3"/>
        <charset val="128"/>
      </rPr>
      <t>個以上</t>
    </r>
    <r>
      <rPr>
        <b/>
        <sz val="18"/>
        <color theme="1"/>
        <rFont val="Aptos Narrow"/>
        <family val="2"/>
        <scheme val="minor"/>
      </rPr>
      <t>,C,D</t>
    </r>
    <r>
      <rPr>
        <b/>
        <sz val="18"/>
        <color theme="1"/>
        <rFont val="ＭＳ ゴシック"/>
        <family val="3"/>
        <charset val="128"/>
      </rPr>
      <t>には</t>
    </r>
    <r>
      <rPr>
        <b/>
        <sz val="18"/>
        <color theme="1"/>
        <rFont val="Aptos Narrow"/>
        <family val="2"/>
        <scheme val="minor"/>
      </rPr>
      <t>0</t>
    </r>
    <r>
      <rPr>
        <b/>
        <sz val="18"/>
        <color theme="1"/>
        <rFont val="ＭＳ ゴシック"/>
        <family val="3"/>
        <charset val="128"/>
      </rPr>
      <t>個。</t>
    </r>
    <phoneticPr fontId="8"/>
  </si>
  <si>
    <r>
      <t>A, B, C</t>
    </r>
    <r>
      <rPr>
        <b/>
        <sz val="18"/>
        <color theme="1"/>
        <rFont val="ＭＳ ゴシック"/>
        <family val="3"/>
        <charset val="128"/>
      </rPr>
      <t>には</t>
    </r>
    <r>
      <rPr>
        <b/>
        <sz val="18"/>
        <color theme="1"/>
        <rFont val="Aptos Narrow"/>
        <family val="2"/>
        <scheme val="minor"/>
      </rPr>
      <t>1</t>
    </r>
    <r>
      <rPr>
        <b/>
        <sz val="18"/>
        <color theme="1"/>
        <rFont val="ＭＳ ゴシック"/>
        <family val="3"/>
        <charset val="128"/>
      </rPr>
      <t>個以上</t>
    </r>
    <r>
      <rPr>
        <b/>
        <sz val="18"/>
        <color theme="1"/>
        <rFont val="Aptos Narrow"/>
        <family val="2"/>
        <scheme val="minor"/>
      </rPr>
      <t>,D</t>
    </r>
    <r>
      <rPr>
        <b/>
        <sz val="18"/>
        <color theme="1"/>
        <rFont val="ＭＳ ゴシック"/>
        <family val="3"/>
        <charset val="128"/>
      </rPr>
      <t>には</t>
    </r>
    <r>
      <rPr>
        <b/>
        <sz val="18"/>
        <color theme="1"/>
        <rFont val="Aptos Narrow"/>
        <family val="2"/>
        <scheme val="minor"/>
      </rPr>
      <t>0</t>
    </r>
    <r>
      <rPr>
        <b/>
        <sz val="18"/>
        <color theme="1"/>
        <rFont val="ＭＳ ゴシック"/>
        <family val="3"/>
        <charset val="128"/>
      </rPr>
      <t>個。</t>
    </r>
    <phoneticPr fontId="8"/>
  </si>
  <si>
    <r>
      <t xml:space="preserve">A,B,C,D </t>
    </r>
    <r>
      <rPr>
        <b/>
        <sz val="18"/>
        <color theme="1"/>
        <rFont val="ＭＳ ゴシック"/>
        <family val="3"/>
        <charset val="128"/>
      </rPr>
      <t>のいずれにも</t>
    </r>
    <r>
      <rPr>
        <b/>
        <sz val="18"/>
        <color theme="1"/>
        <rFont val="Aptos Narrow"/>
        <family val="2"/>
        <scheme val="minor"/>
      </rPr>
      <t>1</t>
    </r>
    <r>
      <rPr>
        <b/>
        <sz val="18"/>
        <color theme="1"/>
        <rFont val="ＭＳ ゴシック"/>
        <family val="3"/>
        <charset val="128"/>
      </rPr>
      <t>個以上</t>
    </r>
    <r>
      <rPr>
        <b/>
        <sz val="18"/>
        <color theme="1"/>
        <rFont val="Aptos Narrow"/>
        <family val="2"/>
        <scheme val="minor"/>
      </rPr>
      <t>,</t>
    </r>
    <phoneticPr fontId="8"/>
  </si>
  <si>
    <t>いきなり一般解ｎで考えるのは難しいため、具体的な数でまず考える</t>
    <phoneticPr fontId="8"/>
  </si>
  <si>
    <r>
      <t>4</t>
    </r>
    <r>
      <rPr>
        <vertAlign val="superscript"/>
        <sz val="11"/>
        <color theme="1"/>
        <rFont val="Arial"/>
        <family val="2"/>
      </rPr>
      <t>n</t>
    </r>
    <r>
      <rPr>
        <sz val="11"/>
        <color theme="1"/>
        <rFont val="Arial"/>
      </rPr>
      <t>-4-6*(2</t>
    </r>
    <r>
      <rPr>
        <vertAlign val="superscript"/>
        <sz val="11"/>
        <color theme="1"/>
        <rFont val="Arial"/>
        <family val="2"/>
      </rPr>
      <t>n</t>
    </r>
    <r>
      <rPr>
        <sz val="11"/>
        <color theme="1"/>
        <rFont val="Arial"/>
      </rPr>
      <t>-2)</t>
    </r>
    <phoneticPr fontId="8"/>
  </si>
  <si>
    <r>
      <rPr>
        <sz val="11"/>
        <color theme="1"/>
        <rFont val="ＭＳ ゴシック"/>
        <family val="3"/>
        <charset val="128"/>
      </rPr>
      <t>※これは</t>
    </r>
    <r>
      <rPr>
        <sz val="11"/>
        <color theme="1"/>
        <rFont val="Arial"/>
        <family val="2"/>
      </rPr>
      <t>(</t>
    </r>
    <r>
      <rPr>
        <sz val="11"/>
        <color theme="1"/>
        <rFont val="ＭＳ ゴシック"/>
        <family val="3"/>
        <charset val="128"/>
      </rPr>
      <t>ⅰ</t>
    </r>
    <r>
      <rPr>
        <sz val="11"/>
        <color theme="1"/>
        <rFont val="Arial"/>
        <family val="2"/>
      </rPr>
      <t>)</t>
    </r>
    <r>
      <rPr>
        <sz val="11"/>
        <color theme="1"/>
        <rFont val="ＭＳ ゴシック"/>
        <family val="3"/>
        <charset val="128"/>
      </rPr>
      <t>の解を利用</t>
    </r>
    <r>
      <rPr>
        <sz val="11"/>
        <color theme="1"/>
        <rFont val="游ゴシック"/>
        <family val="3"/>
        <charset val="128"/>
      </rPr>
      <t>して、</t>
    </r>
    <r>
      <rPr>
        <sz val="11"/>
        <color theme="1"/>
        <rFont val="Arial"/>
        <family val="3"/>
      </rPr>
      <t>3*(2</t>
    </r>
    <r>
      <rPr>
        <vertAlign val="superscript"/>
        <sz val="11"/>
        <color theme="1"/>
        <rFont val="Arial"/>
        <family val="2"/>
      </rPr>
      <t>n</t>
    </r>
    <r>
      <rPr>
        <sz val="11"/>
        <color theme="1"/>
        <rFont val="Arial"/>
        <family val="3"/>
      </rPr>
      <t>-2)</t>
    </r>
    <r>
      <rPr>
        <sz val="11"/>
        <color theme="1"/>
        <rFont val="游ゴシック"/>
        <family val="3"/>
        <charset val="128"/>
      </rPr>
      <t>を引いている</t>
    </r>
    <rPh sb="24" eb="25">
      <t>ヒ</t>
    </rPh>
    <phoneticPr fontId="8"/>
  </si>
  <si>
    <t>全体</t>
    <rPh sb="0" eb="2">
      <t>ゼンタイ</t>
    </rPh>
    <phoneticPr fontId="8"/>
  </si>
  <si>
    <t>結果</t>
    <rPh sb="0" eb="2">
      <t>ケッカ</t>
    </rPh>
    <phoneticPr fontId="8"/>
  </si>
  <si>
    <t>一人だけ</t>
    <rPh sb="0" eb="2">
      <t>ヒトリ</t>
    </rPh>
    <phoneticPr fontId="8"/>
  </si>
  <si>
    <t>二人だけ</t>
    <rPh sb="0" eb="2">
      <t>フタリ</t>
    </rPh>
    <phoneticPr fontId="8"/>
  </si>
  <si>
    <r>
      <rPr>
        <sz val="11"/>
        <color theme="1"/>
        <rFont val="MS UI Gothic"/>
        <family val="3"/>
        <charset val="128"/>
      </rPr>
      <t>※</t>
    </r>
    <r>
      <rPr>
        <sz val="11"/>
        <color theme="1"/>
        <rFont val="Aptos Narrow"/>
        <family val="3"/>
      </rPr>
      <t>-30×3</t>
    </r>
    <phoneticPr fontId="8"/>
  </si>
  <si>
    <r>
      <rPr>
        <sz val="11"/>
        <color theme="1"/>
        <rFont val="MS UI Gothic"/>
        <family val="3"/>
        <charset val="128"/>
      </rPr>
      <t>※</t>
    </r>
    <r>
      <rPr>
        <sz val="11"/>
        <color theme="1"/>
        <rFont val="Aptos Narrow"/>
        <family val="3"/>
      </rPr>
      <t>-62×3</t>
    </r>
    <phoneticPr fontId="8"/>
  </si>
  <si>
    <r>
      <rPr>
        <sz val="11"/>
        <color theme="1"/>
        <rFont val="MS UI Gothic"/>
        <family val="3"/>
        <charset val="128"/>
      </rPr>
      <t>※</t>
    </r>
    <r>
      <rPr>
        <sz val="11"/>
        <color theme="1"/>
        <rFont val="Aptos Narrow"/>
        <family val="3"/>
      </rPr>
      <t>-126×3</t>
    </r>
    <phoneticPr fontId="8"/>
  </si>
  <si>
    <r>
      <rPr>
        <sz val="11"/>
        <color theme="1"/>
        <rFont val="Aptos Narrow"/>
      </rPr>
      <t>3</t>
    </r>
    <r>
      <rPr>
        <vertAlign val="superscript"/>
        <sz val="11"/>
        <color theme="1"/>
        <rFont val="Aptos Narrow"/>
        <family val="3"/>
      </rPr>
      <t>n</t>
    </r>
    <r>
      <rPr>
        <sz val="11"/>
        <color theme="1"/>
        <rFont val="Aptos Narrow"/>
        <family val="3"/>
      </rPr>
      <t>-3-3*(2</t>
    </r>
    <r>
      <rPr>
        <vertAlign val="superscript"/>
        <sz val="11"/>
        <color theme="1"/>
        <rFont val="Aptos Narrow"/>
        <family val="3"/>
      </rPr>
      <t>n</t>
    </r>
    <r>
      <rPr>
        <sz val="11"/>
        <color theme="1"/>
        <rFont val="Aptos Narrow"/>
        <family val="3"/>
      </rPr>
      <t>-2)=3</t>
    </r>
    <r>
      <rPr>
        <vertAlign val="superscript"/>
        <sz val="11"/>
        <color theme="1"/>
        <rFont val="Aptos Narrow"/>
        <family val="3"/>
      </rPr>
      <t>n</t>
    </r>
    <r>
      <rPr>
        <sz val="11"/>
        <color theme="1"/>
        <rFont val="Aptos Narrow"/>
        <family val="3"/>
      </rPr>
      <t>-3*2</t>
    </r>
    <r>
      <rPr>
        <vertAlign val="superscript"/>
        <sz val="11"/>
        <color theme="1"/>
        <rFont val="Aptos Narrow"/>
        <family val="3"/>
      </rPr>
      <t>n</t>
    </r>
    <r>
      <rPr>
        <sz val="11"/>
        <color theme="1"/>
        <rFont val="Aptos Narrow"/>
        <family val="3"/>
      </rPr>
      <t>+3</t>
    </r>
    <phoneticPr fontId="8"/>
  </si>
  <si>
    <t>n個</t>
    <rPh sb="1" eb="2">
      <t>コ</t>
    </rPh>
    <phoneticPr fontId="8"/>
  </si>
  <si>
    <r>
      <t>2</t>
    </r>
    <r>
      <rPr>
        <vertAlign val="superscript"/>
        <sz val="11"/>
        <color theme="1"/>
        <rFont val="Aptos Narrow"/>
        <family val="2"/>
        <scheme val="minor"/>
      </rPr>
      <t>n</t>
    </r>
    <phoneticPr fontId="8"/>
  </si>
  <si>
    <r>
      <t>2</t>
    </r>
    <r>
      <rPr>
        <vertAlign val="superscript"/>
        <sz val="11"/>
        <color theme="1"/>
        <rFont val="Aptos Narrow"/>
        <family val="2"/>
        <scheme val="minor"/>
      </rPr>
      <t>n</t>
    </r>
    <r>
      <rPr>
        <sz val="11"/>
        <color theme="1"/>
        <rFont val="Aptos Narrow"/>
        <family val="2"/>
        <scheme val="minor"/>
      </rPr>
      <t>-2</t>
    </r>
    <phoneticPr fontId="8"/>
  </si>
  <si>
    <r>
      <t>3</t>
    </r>
    <r>
      <rPr>
        <vertAlign val="superscript"/>
        <sz val="11"/>
        <color theme="1"/>
        <rFont val="Aptos Narrow"/>
        <family val="2"/>
        <scheme val="minor"/>
      </rPr>
      <t>n</t>
    </r>
    <phoneticPr fontId="8"/>
  </si>
  <si>
    <r>
      <t>-3*(2</t>
    </r>
    <r>
      <rPr>
        <vertAlign val="superscript"/>
        <sz val="11"/>
        <color theme="1"/>
        <rFont val="Aptos Narrow"/>
        <family val="2"/>
        <scheme val="minor"/>
      </rPr>
      <t>n</t>
    </r>
    <r>
      <rPr>
        <sz val="11"/>
        <color theme="1"/>
        <rFont val="Aptos Narrow"/>
        <family val="2"/>
        <scheme val="minor"/>
      </rPr>
      <t>-2)</t>
    </r>
    <phoneticPr fontId="8"/>
  </si>
  <si>
    <r>
      <t>3</t>
    </r>
    <r>
      <rPr>
        <vertAlign val="superscript"/>
        <sz val="11"/>
        <color theme="1"/>
        <rFont val="Aptos Narrow"/>
        <family val="2"/>
        <scheme val="minor"/>
      </rPr>
      <t>n</t>
    </r>
    <r>
      <rPr>
        <sz val="11"/>
        <color theme="1"/>
        <rFont val="Aptos Narrow"/>
        <family val="2"/>
        <scheme val="minor"/>
      </rPr>
      <t>-3-3*(2</t>
    </r>
    <r>
      <rPr>
        <vertAlign val="superscript"/>
        <sz val="11"/>
        <color theme="1"/>
        <rFont val="Aptos Narrow"/>
        <family val="2"/>
        <scheme val="minor"/>
      </rPr>
      <t>n</t>
    </r>
    <r>
      <rPr>
        <sz val="11"/>
        <color theme="1"/>
        <rFont val="Aptos Narrow"/>
        <family val="2"/>
        <scheme val="minor"/>
      </rPr>
      <t>-2)</t>
    </r>
    <phoneticPr fontId="8"/>
  </si>
  <si>
    <t>Aが2つ</t>
    <phoneticPr fontId="8"/>
  </si>
  <si>
    <r>
      <t>B</t>
    </r>
    <r>
      <rPr>
        <sz val="11"/>
        <color theme="1"/>
        <rFont val="Aptos Narrow"/>
        <family val="3"/>
        <charset val="128"/>
        <scheme val="minor"/>
      </rPr>
      <t>が</t>
    </r>
    <r>
      <rPr>
        <sz val="11"/>
        <color theme="1"/>
        <rFont val="Aptos Narrow"/>
        <family val="2"/>
        <scheme val="minor"/>
      </rPr>
      <t>0</t>
    </r>
    <phoneticPr fontId="8"/>
  </si>
  <si>
    <r>
      <t>C</t>
    </r>
    <r>
      <rPr>
        <sz val="11"/>
        <color theme="1"/>
        <rFont val="Aptos Narrow"/>
        <family val="3"/>
        <charset val="128"/>
        <scheme val="minor"/>
      </rPr>
      <t>が</t>
    </r>
    <r>
      <rPr>
        <sz val="11"/>
        <color theme="1"/>
        <rFont val="Aptos Narrow"/>
        <family val="2"/>
        <scheme val="minor"/>
      </rPr>
      <t>3</t>
    </r>
    <r>
      <rPr>
        <sz val="11"/>
        <color theme="1"/>
        <rFont val="Aptos Narrow"/>
        <family val="3"/>
        <charset val="128"/>
        <scheme val="minor"/>
      </rPr>
      <t>つ</t>
    </r>
    <phoneticPr fontId="8"/>
  </si>
  <si>
    <r>
      <t>2</t>
    </r>
    <r>
      <rPr>
        <sz val="11"/>
        <color theme="1"/>
        <rFont val="ＭＳ ゴシック"/>
        <family val="3"/>
        <charset val="128"/>
      </rPr>
      <t>本目を</t>
    </r>
    <r>
      <rPr>
        <sz val="11"/>
        <color theme="1"/>
        <rFont val="Aptos Narrow"/>
        <family val="2"/>
        <scheme val="minor"/>
      </rPr>
      <t>B</t>
    </r>
    <r>
      <rPr>
        <sz val="11"/>
        <color theme="1"/>
        <rFont val="ＭＳ ゴシック"/>
        <family val="3"/>
        <charset val="128"/>
      </rPr>
      <t>と</t>
    </r>
    <r>
      <rPr>
        <sz val="11"/>
        <color theme="1"/>
        <rFont val="Aptos Narrow"/>
        <family val="2"/>
        <scheme val="minor"/>
      </rPr>
      <t>C</t>
    </r>
    <r>
      <rPr>
        <sz val="11"/>
        <color theme="1"/>
        <rFont val="ＭＳ ゴシック"/>
        <family val="3"/>
        <charset val="128"/>
      </rPr>
      <t>の区切りとすると、AとBの区切り位置以外で入る位置は</t>
    </r>
    <r>
      <rPr>
        <sz val="11"/>
        <color theme="1"/>
        <rFont val="Aptos Narrow"/>
        <family val="2"/>
        <scheme val="minor"/>
      </rPr>
      <t>5</t>
    </r>
    <r>
      <rPr>
        <sz val="11"/>
        <color theme="1"/>
        <rFont val="ＭＳ ゴシック"/>
        <family val="3"/>
        <charset val="128"/>
      </rPr>
      <t>通り</t>
    </r>
    <rPh sb="20" eb="22">
      <t>クギ</t>
    </rPh>
    <rPh sb="23" eb="25">
      <t>イチ</t>
    </rPh>
    <rPh sb="25" eb="27">
      <t>イガイ</t>
    </rPh>
    <phoneticPr fontId="8"/>
  </si>
  <si>
    <r>
      <t>2</t>
    </r>
    <r>
      <rPr>
        <sz val="11"/>
        <color theme="1"/>
        <rFont val="ＭＳ ゴシック"/>
        <family val="3"/>
        <charset val="128"/>
      </rPr>
      <t>本目を</t>
    </r>
    <r>
      <rPr>
        <sz val="11"/>
        <color theme="1"/>
        <rFont val="Aptos Narrow"/>
        <family val="2"/>
        <scheme val="minor"/>
      </rPr>
      <t>B</t>
    </r>
    <r>
      <rPr>
        <sz val="11"/>
        <color theme="1"/>
        <rFont val="ＭＳ ゴシック"/>
        <family val="3"/>
        <charset val="128"/>
      </rPr>
      <t>と</t>
    </r>
    <r>
      <rPr>
        <sz val="11"/>
        <color theme="1"/>
        <rFont val="Aptos Narrow"/>
        <family val="2"/>
        <scheme val="minor"/>
      </rPr>
      <t>C</t>
    </r>
    <r>
      <rPr>
        <sz val="11"/>
        <color theme="1"/>
        <rFont val="ＭＳ ゴシック"/>
        <family val="3"/>
        <charset val="128"/>
      </rPr>
      <t>の区切りとすると、</t>
    </r>
    <r>
      <rPr>
        <sz val="11"/>
        <color theme="1"/>
        <rFont val="Aptos Narrow"/>
        <family val="3"/>
        <charset val="128"/>
        <scheme val="minor"/>
      </rPr>
      <t>A</t>
    </r>
    <r>
      <rPr>
        <sz val="11"/>
        <color theme="1"/>
        <rFont val="游ゴシック"/>
        <family val="3"/>
        <charset val="128"/>
      </rPr>
      <t>と</t>
    </r>
    <r>
      <rPr>
        <sz val="11"/>
        <color theme="1"/>
        <rFont val="Aptos Narrow"/>
        <family val="3"/>
        <charset val="128"/>
        <scheme val="minor"/>
      </rPr>
      <t>B</t>
    </r>
    <r>
      <rPr>
        <sz val="11"/>
        <color theme="1"/>
        <rFont val="游ゴシック"/>
        <family val="3"/>
        <charset val="128"/>
      </rPr>
      <t>の区切り位置以外で</t>
    </r>
    <r>
      <rPr>
        <sz val="11"/>
        <color theme="1"/>
        <rFont val="ＭＳ ゴシック"/>
        <family val="3"/>
        <charset val="128"/>
      </rPr>
      <t>入る位置は</t>
    </r>
    <r>
      <rPr>
        <sz val="11"/>
        <color theme="1"/>
        <rFont val="Aptos Narrow"/>
        <family val="2"/>
        <scheme val="minor"/>
      </rPr>
      <t>4</t>
    </r>
    <r>
      <rPr>
        <sz val="11"/>
        <color theme="1"/>
        <rFont val="ＭＳ ゴシック"/>
        <family val="3"/>
        <charset val="128"/>
      </rPr>
      <t>通り</t>
    </r>
    <phoneticPr fontId="8"/>
  </si>
  <si>
    <t>白の表について、0となってる数に対して、黒の組合せ数を入れて合計する</t>
    <rPh sb="0" eb="1">
      <t>シロ</t>
    </rPh>
    <rPh sb="2" eb="3">
      <t>ヒョウ</t>
    </rPh>
    <rPh sb="14" eb="15">
      <t>カズ</t>
    </rPh>
    <rPh sb="16" eb="17">
      <t>タイ</t>
    </rPh>
    <rPh sb="20" eb="21">
      <t>クロ</t>
    </rPh>
    <rPh sb="22" eb="24">
      <t>クミアワ</t>
    </rPh>
    <rPh sb="25" eb="26">
      <t>スウ</t>
    </rPh>
    <rPh sb="27" eb="28">
      <t>イ</t>
    </rPh>
    <rPh sb="30" eb="32">
      <t>ゴウケイ</t>
    </rPh>
    <phoneticPr fontId="8"/>
  </si>
  <si>
    <t>A</t>
    <phoneticPr fontId="8"/>
  </si>
  <si>
    <t>B</t>
    <phoneticPr fontId="8"/>
  </si>
  <si>
    <t>C</t>
    <phoneticPr fontId="8"/>
  </si>
  <si>
    <t>白</t>
    <rPh sb="0" eb="1">
      <t>シロ</t>
    </rPh>
    <phoneticPr fontId="8"/>
  </si>
  <si>
    <t>黒</t>
    <rPh sb="0" eb="1">
      <t>クロ</t>
    </rPh>
    <phoneticPr fontId="8"/>
  </si>
  <si>
    <t>全体の組合せ数は21*36=756通り</t>
    <rPh sb="0" eb="2">
      <t>ゼンタイ</t>
    </rPh>
    <rPh sb="3" eb="5">
      <t>クミアワ</t>
    </rPh>
    <rPh sb="6" eb="7">
      <t>スウ</t>
    </rPh>
    <rPh sb="17" eb="18">
      <t>トオ</t>
    </rPh>
    <phoneticPr fontId="8"/>
  </si>
  <si>
    <r>
      <rPr>
        <sz val="11"/>
        <color theme="1"/>
        <rFont val="ＭＳ ゴシック"/>
        <family val="3"/>
        <charset val="128"/>
      </rPr>
      <t>まず</t>
    </r>
    <r>
      <rPr>
        <sz val="11"/>
        <color theme="1"/>
        <rFont val="Aptos Narrow"/>
        <family val="2"/>
        <scheme val="minor"/>
      </rPr>
      <t>A</t>
    </r>
    <r>
      <rPr>
        <sz val="11"/>
        <color theme="1"/>
        <rFont val="ＭＳ ゴシック"/>
        <family val="3"/>
        <charset val="128"/>
      </rPr>
      <t>、</t>
    </r>
    <r>
      <rPr>
        <sz val="11"/>
        <color theme="1"/>
        <rFont val="Aptos Narrow"/>
        <family val="2"/>
        <scheme val="minor"/>
      </rPr>
      <t>B</t>
    </r>
    <r>
      <rPr>
        <sz val="11"/>
        <color theme="1"/>
        <rFont val="ＭＳ ゴシック"/>
        <family val="3"/>
        <charset val="128"/>
      </rPr>
      <t>、</t>
    </r>
    <r>
      <rPr>
        <sz val="11"/>
        <color theme="1"/>
        <rFont val="Aptos Narrow"/>
        <family val="2"/>
        <scheme val="minor"/>
      </rPr>
      <t>C</t>
    </r>
    <r>
      <rPr>
        <sz val="11"/>
        <color theme="1"/>
        <rFont val="ＭＳ ゴシック"/>
        <family val="3"/>
        <charset val="128"/>
      </rPr>
      <t>に入れる組合せは左記91通り</t>
    </r>
    <rPh sb="8" eb="9">
      <t>イ</t>
    </rPh>
    <rPh sb="11" eb="13">
      <t>クミアワ</t>
    </rPh>
    <rPh sb="15" eb="17">
      <t>サキ</t>
    </rPh>
    <rPh sb="19" eb="20">
      <t>トオ</t>
    </rPh>
    <phoneticPr fontId="8"/>
  </si>
  <si>
    <t>0となっている組合せの数を全体756通りから除くことを考える</t>
    <rPh sb="7" eb="9">
      <t>クミアワ</t>
    </rPh>
    <rPh sb="11" eb="12">
      <t>カズ</t>
    </rPh>
    <rPh sb="13" eb="15">
      <t>ゼンタイ</t>
    </rPh>
    <rPh sb="18" eb="19">
      <t>トオ</t>
    </rPh>
    <rPh sb="22" eb="23">
      <t>ノゾ</t>
    </rPh>
    <rPh sb="27" eb="28">
      <t>カンガ</t>
    </rPh>
    <phoneticPr fontId="8"/>
  </si>
  <si>
    <t>結局0となるのは、①2つが0となる場合の3通り</t>
    <rPh sb="0" eb="2">
      <t>ケッキョク</t>
    </rPh>
    <rPh sb="17" eb="19">
      <t>バアイ</t>
    </rPh>
    <rPh sb="21" eb="22">
      <t>トオ</t>
    </rPh>
    <phoneticPr fontId="8"/>
  </si>
  <si>
    <t>②1つが0となる3×11=33通り</t>
    <rPh sb="15" eb="16">
      <t>トオ</t>
    </rPh>
    <phoneticPr fontId="8"/>
  </si>
  <si>
    <t>この場合他の2つは1と11～11と1の組合せの11通り</t>
    <rPh sb="2" eb="4">
      <t>バアイ</t>
    </rPh>
    <rPh sb="4" eb="5">
      <t>タ</t>
    </rPh>
    <rPh sb="19" eb="21">
      <t>クミアワ</t>
    </rPh>
    <rPh sb="25" eb="26">
      <t>トオ</t>
    </rPh>
    <phoneticPr fontId="8"/>
  </si>
  <si>
    <t>2通り</t>
    <rPh sb="1" eb="2">
      <t>トオ</t>
    </rPh>
    <phoneticPr fontId="8"/>
  </si>
  <si>
    <t>3通り</t>
    <rPh sb="1" eb="2">
      <t>トオ</t>
    </rPh>
    <phoneticPr fontId="8"/>
  </si>
  <si>
    <t>4通り</t>
    <rPh sb="1" eb="2">
      <t>トオ</t>
    </rPh>
    <phoneticPr fontId="8"/>
  </si>
  <si>
    <r>
      <t>5</t>
    </r>
    <r>
      <rPr>
        <sz val="11"/>
        <color theme="1"/>
        <rFont val="ＭＳ ゴシック"/>
        <family val="3"/>
        <charset val="128"/>
      </rPr>
      <t>通り</t>
    </r>
    <rPh sb="1" eb="2">
      <t>トオ</t>
    </rPh>
    <phoneticPr fontId="8"/>
  </si>
  <si>
    <r>
      <t>6</t>
    </r>
    <r>
      <rPr>
        <sz val="11"/>
        <color theme="1"/>
        <rFont val="ＭＳ ゴシック"/>
        <family val="3"/>
        <charset val="128"/>
      </rPr>
      <t>通り</t>
    </r>
    <rPh sb="1" eb="2">
      <t>トオ</t>
    </rPh>
    <phoneticPr fontId="8"/>
  </si>
  <si>
    <t>計</t>
    <rPh sb="0" eb="1">
      <t>ケイ</t>
    </rPh>
    <phoneticPr fontId="8"/>
  </si>
  <si>
    <t>46通り</t>
    <rPh sb="2" eb="3">
      <t>トオ</t>
    </rPh>
    <phoneticPr fontId="8"/>
  </si>
  <si>
    <r>
      <rPr>
        <sz val="11"/>
        <color theme="1"/>
        <rFont val="ＭＳ ゴシック"/>
        <family val="3"/>
        <charset val="128"/>
      </rPr>
      <t>従って</t>
    </r>
    <r>
      <rPr>
        <sz val="11"/>
        <color theme="1"/>
        <rFont val="Aptos Narrow"/>
        <family val="2"/>
        <scheme val="minor"/>
      </rPr>
      <t>756-3-46*3=615</t>
    </r>
    <rPh sb="0" eb="1">
      <t>シタガ</t>
    </rPh>
    <phoneticPr fontId="8"/>
  </si>
  <si>
    <t>615通り</t>
    <rPh sb="3" eb="4">
      <t>トオ</t>
    </rPh>
    <phoneticPr fontId="8"/>
  </si>
  <si>
    <t>白と黒の組合せを考える</t>
    <rPh sb="0" eb="1">
      <t>シロ</t>
    </rPh>
    <rPh sb="2" eb="3">
      <t>クロ</t>
    </rPh>
    <rPh sb="4" eb="6">
      <t>クミアワ</t>
    </rPh>
    <rPh sb="8" eb="9">
      <t>カンガ</t>
    </rPh>
    <phoneticPr fontId="8"/>
  </si>
  <si>
    <t>※白は5つなので、5個の場合と同じ</t>
    <rPh sb="1" eb="2">
      <t>シロ</t>
    </rPh>
    <rPh sb="10" eb="11">
      <t>コ</t>
    </rPh>
    <rPh sb="12" eb="14">
      <t>バアイ</t>
    </rPh>
    <rPh sb="15" eb="16">
      <t>オナ</t>
    </rPh>
    <phoneticPr fontId="8"/>
  </si>
  <si>
    <r>
      <t>B</t>
    </r>
    <r>
      <rPr>
        <b/>
        <sz val="18"/>
        <color theme="1"/>
        <rFont val="ＭＳ ゴシック"/>
        <family val="3"/>
        <charset val="128"/>
      </rPr>
      <t>と</t>
    </r>
    <r>
      <rPr>
        <b/>
        <sz val="18"/>
        <color theme="1"/>
        <rFont val="Aptos Narrow"/>
        <family val="2"/>
        <scheme val="minor"/>
      </rPr>
      <t>C</t>
    </r>
    <r>
      <rPr>
        <b/>
        <sz val="18"/>
        <color theme="1"/>
        <rFont val="ＭＳ ゴシック"/>
        <family val="3"/>
        <charset val="128"/>
      </rPr>
      <t>のあいだ、および</t>
    </r>
    <r>
      <rPr>
        <b/>
        <sz val="18"/>
        <color theme="1"/>
        <rFont val="Aptos Narrow"/>
        <family val="2"/>
        <scheme val="minor"/>
      </rPr>
      <t>E</t>
    </r>
    <r>
      <rPr>
        <b/>
        <sz val="18"/>
        <color theme="1"/>
        <rFont val="ＭＳ ゴシック"/>
        <family val="3"/>
        <charset val="128"/>
      </rPr>
      <t>と</t>
    </r>
    <r>
      <rPr>
        <b/>
        <sz val="18"/>
        <color theme="1"/>
        <rFont val="Aptos Narrow"/>
        <family val="2"/>
        <scheme val="minor"/>
      </rPr>
      <t>F</t>
    </r>
    <r>
      <rPr>
        <b/>
        <sz val="18"/>
        <color theme="1"/>
        <rFont val="ＭＳ ゴシック"/>
        <family val="3"/>
        <charset val="128"/>
      </rPr>
      <t>のあいだを除き</t>
    </r>
    <r>
      <rPr>
        <b/>
        <sz val="18"/>
        <color theme="1"/>
        <rFont val="Aptos Narrow"/>
        <family val="2"/>
        <scheme val="minor"/>
      </rPr>
      <t>,</t>
    </r>
    <phoneticPr fontId="8"/>
  </si>
  <si>
    <r>
      <t>ただし</t>
    </r>
    <r>
      <rPr>
        <b/>
        <sz val="18"/>
        <color theme="1"/>
        <rFont val="Aptos Narrow"/>
        <family val="2"/>
        <scheme val="minor"/>
      </rPr>
      <t>,</t>
    </r>
    <r>
      <rPr>
        <b/>
        <sz val="18"/>
        <color theme="1"/>
        <rFont val="Aptos Narrow"/>
        <family val="3"/>
        <charset val="128"/>
        <scheme val="minor"/>
      </rPr>
      <t>各人は一度より多く電話をかけず</t>
    </r>
    <r>
      <rPr>
        <b/>
        <sz val="18"/>
        <color theme="1"/>
        <rFont val="Aptos Narrow"/>
        <family val="2"/>
        <scheme val="minor"/>
      </rPr>
      <t xml:space="preserve">, </t>
    </r>
    <r>
      <rPr>
        <b/>
        <sz val="18"/>
        <color theme="1"/>
        <rFont val="Aptos Narrow"/>
        <family val="3"/>
        <charset val="128"/>
        <scheme val="minor"/>
      </rPr>
      <t>一度より多く電話を受けないものとする。</t>
    </r>
  </si>
  <si>
    <r>
      <rPr>
        <b/>
        <sz val="18"/>
        <color theme="1"/>
        <rFont val="ＭＳ ゴシック"/>
        <family val="3"/>
        <charset val="128"/>
      </rPr>
      <t>たがいに電話連絡をすることができる</t>
    </r>
    <r>
      <rPr>
        <b/>
        <sz val="18"/>
        <color theme="1"/>
        <rFont val="Aptos Narrow"/>
        <family val="2"/>
        <scheme val="minor"/>
      </rPr>
      <t>.</t>
    </r>
    <rPh sb="6" eb="8">
      <t>レンラク</t>
    </rPh>
    <phoneticPr fontId="8"/>
  </si>
  <si>
    <r>
      <t>7</t>
    </r>
    <r>
      <rPr>
        <b/>
        <sz val="18"/>
        <color theme="1"/>
        <rFont val="ＭＳ ゴシック"/>
        <family val="3"/>
        <charset val="128"/>
      </rPr>
      <t>人の人</t>
    </r>
    <r>
      <rPr>
        <b/>
        <sz val="18"/>
        <color theme="1"/>
        <rFont val="Aptos Narrow"/>
        <family val="2"/>
        <scheme val="minor"/>
      </rPr>
      <t>A</t>
    </r>
    <r>
      <rPr>
        <b/>
        <sz val="18"/>
        <color theme="1"/>
        <rFont val="游ゴシック"/>
        <family val="2"/>
        <charset val="128"/>
      </rPr>
      <t>、</t>
    </r>
    <r>
      <rPr>
        <b/>
        <sz val="18"/>
        <color theme="1"/>
        <rFont val="Aptos Narrow"/>
        <family val="2"/>
        <scheme val="minor"/>
      </rPr>
      <t>B</t>
    </r>
    <r>
      <rPr>
        <b/>
        <sz val="18"/>
        <color theme="1"/>
        <rFont val="游ゴシック"/>
        <family val="2"/>
        <charset val="128"/>
      </rPr>
      <t>、</t>
    </r>
    <r>
      <rPr>
        <b/>
        <sz val="18"/>
        <color theme="1"/>
        <rFont val="Aptos Narrow"/>
        <family val="2"/>
        <scheme val="minor"/>
      </rPr>
      <t>C</t>
    </r>
    <r>
      <rPr>
        <b/>
        <sz val="18"/>
        <color theme="1"/>
        <rFont val="游ゴシック"/>
        <family val="2"/>
        <charset val="128"/>
      </rPr>
      <t>、</t>
    </r>
    <r>
      <rPr>
        <b/>
        <sz val="18"/>
        <color theme="1"/>
        <rFont val="Aptos Narrow"/>
        <family val="2"/>
        <scheme val="minor"/>
      </rPr>
      <t>D</t>
    </r>
    <r>
      <rPr>
        <b/>
        <sz val="18"/>
        <color theme="1"/>
        <rFont val="游ゴシック"/>
        <family val="2"/>
        <charset val="128"/>
      </rPr>
      <t>、</t>
    </r>
    <r>
      <rPr>
        <b/>
        <sz val="18"/>
        <color theme="1"/>
        <rFont val="Aptos Narrow"/>
        <family val="2"/>
        <scheme val="minor"/>
      </rPr>
      <t>E</t>
    </r>
    <r>
      <rPr>
        <b/>
        <sz val="18"/>
        <color theme="1"/>
        <rFont val="游ゴシック"/>
        <family val="2"/>
        <charset val="128"/>
      </rPr>
      <t>、</t>
    </r>
    <r>
      <rPr>
        <b/>
        <sz val="18"/>
        <color theme="1"/>
        <rFont val="Aptos Narrow"/>
        <family val="2"/>
        <scheme val="minor"/>
      </rPr>
      <t>F</t>
    </r>
    <r>
      <rPr>
        <b/>
        <sz val="18"/>
        <color theme="1"/>
        <rFont val="游ゴシック"/>
        <family val="2"/>
        <charset val="128"/>
      </rPr>
      <t>、</t>
    </r>
    <r>
      <rPr>
        <b/>
        <sz val="18"/>
        <color theme="1"/>
        <rFont val="Aptos Narrow"/>
        <family val="2"/>
        <scheme val="minor"/>
      </rPr>
      <t xml:space="preserve">G </t>
    </r>
    <r>
      <rPr>
        <b/>
        <sz val="18"/>
        <color theme="1"/>
        <rFont val="ＭＳ ゴシック"/>
        <family val="3"/>
        <charset val="128"/>
      </rPr>
      <t>がいて、各人のあいだは、</t>
    </r>
    <phoneticPr fontId="8"/>
  </si>
  <si>
    <r>
      <rPr>
        <b/>
        <sz val="18"/>
        <color theme="1"/>
        <rFont val="ＭＳ ゴシック"/>
        <family val="3"/>
        <charset val="128"/>
      </rPr>
      <t>いま、</t>
    </r>
    <r>
      <rPr>
        <b/>
        <sz val="18"/>
        <color theme="1"/>
        <rFont val="Aptos Narrow"/>
        <family val="2"/>
        <scheme val="minor"/>
      </rPr>
      <t>A</t>
    </r>
    <r>
      <rPr>
        <b/>
        <sz val="18"/>
        <color theme="1"/>
        <rFont val="ＭＳ ゴシック"/>
        <family val="3"/>
        <charset val="128"/>
      </rPr>
      <t>から始めてつぎつぎと電話して全員に連絡するとき、いくとおりの方法があるか。</t>
    </r>
    <phoneticPr fontId="8"/>
  </si>
  <si>
    <t>それぞれの共通部分を足すことで求まることが図から分かる</t>
    <rPh sb="5" eb="7">
      <t>キョウツウ</t>
    </rPh>
    <rPh sb="7" eb="9">
      <t>ブブン</t>
    </rPh>
    <rPh sb="10" eb="11">
      <t>タ</t>
    </rPh>
    <rPh sb="15" eb="16">
      <t>モト</t>
    </rPh>
    <rPh sb="21" eb="22">
      <t>ズ</t>
    </rPh>
    <rPh sb="24" eb="25">
      <t>ワ</t>
    </rPh>
    <phoneticPr fontId="8"/>
  </si>
  <si>
    <t>全体の数からB→C、C→B、E→F、F→Eの場合を引き</t>
    <rPh sb="0" eb="2">
      <t>ゼンタイ</t>
    </rPh>
    <rPh sb="3" eb="4">
      <t>カズ</t>
    </rPh>
    <rPh sb="22" eb="24">
      <t>バアイ</t>
    </rPh>
    <rPh sb="25" eb="26">
      <t>ヒ</t>
    </rPh>
    <phoneticPr fontId="8"/>
  </si>
  <si>
    <t>同様にして他の重なっている組合せも、それぞれ</t>
    <rPh sb="0" eb="2">
      <t>ドウヨウ</t>
    </rPh>
    <rPh sb="5" eb="6">
      <t>タ</t>
    </rPh>
    <rPh sb="7" eb="8">
      <t>カサ</t>
    </rPh>
    <rPh sb="13" eb="15">
      <t>クミアワ</t>
    </rPh>
    <phoneticPr fontId="8"/>
  </si>
  <si>
    <r>
      <rPr>
        <sz val="11"/>
        <color theme="1"/>
        <rFont val="Aptos Narrow"/>
        <family val="3"/>
        <charset val="128"/>
        <scheme val="minor"/>
      </rPr>
      <t>上記より</t>
    </r>
    <r>
      <rPr>
        <sz val="11"/>
        <color theme="1"/>
        <rFont val="Aptos Narrow"/>
        <family val="2"/>
        <scheme val="minor"/>
      </rPr>
      <t>B→C</t>
    </r>
    <r>
      <rPr>
        <sz val="11"/>
        <color theme="1"/>
        <rFont val="Aptos Narrow"/>
        <family val="3"/>
        <charset val="128"/>
        <scheme val="minor"/>
      </rPr>
      <t>と</t>
    </r>
    <r>
      <rPr>
        <sz val="11"/>
        <color theme="1"/>
        <rFont val="Aptos Narrow"/>
        <family val="2"/>
        <scheme val="minor"/>
      </rPr>
      <t>E→F</t>
    </r>
    <r>
      <rPr>
        <sz val="11"/>
        <color theme="1"/>
        <rFont val="Aptos Narrow"/>
        <family val="3"/>
        <charset val="128"/>
        <scheme val="minor"/>
      </rPr>
      <t>が同時に並ぶ場合の合計が</t>
    </r>
    <r>
      <rPr>
        <sz val="11"/>
        <color theme="1"/>
        <rFont val="Aptos Narrow"/>
        <family val="2"/>
        <scheme val="minor"/>
      </rPr>
      <t>24</t>
    </r>
    <r>
      <rPr>
        <sz val="11"/>
        <color theme="1"/>
        <rFont val="Aptos Narrow"/>
        <family val="3"/>
        <charset val="128"/>
        <scheme val="minor"/>
      </rPr>
      <t>通り</t>
    </r>
    <rPh sb="0" eb="2">
      <t>ジョウキ</t>
    </rPh>
    <phoneticPr fontId="8"/>
  </si>
  <si>
    <r>
      <t>12</t>
    </r>
    <r>
      <rPr>
        <b/>
        <sz val="18"/>
        <color theme="1"/>
        <rFont val="ＭＳ ゴシック"/>
        <family val="3"/>
        <charset val="128"/>
      </rPr>
      <t>個の異なる珠でできた数珠がある。</t>
    </r>
    <phoneticPr fontId="8"/>
  </si>
  <si>
    <r>
      <rPr>
        <b/>
        <sz val="18"/>
        <color theme="1"/>
        <rFont val="ＭＳ ゴシック"/>
        <family val="3"/>
        <charset val="128"/>
      </rPr>
      <t>となり合う珠は同時に取</t>
    </r>
    <r>
      <rPr>
        <b/>
        <sz val="18"/>
        <color theme="1"/>
        <rFont val="Aptos Narrow"/>
        <family val="2"/>
        <scheme val="minor"/>
      </rPr>
      <t xml:space="preserve"> </t>
    </r>
    <r>
      <rPr>
        <b/>
        <sz val="18"/>
        <color theme="1"/>
        <rFont val="ＭＳ ゴシック"/>
        <family val="3"/>
        <charset val="128"/>
      </rPr>
      <t>らないようにして、</t>
    </r>
    <phoneticPr fontId="8"/>
  </si>
  <si>
    <r>
      <rPr>
        <b/>
        <sz val="18"/>
        <color theme="1"/>
        <rFont val="ＭＳ ゴシック"/>
        <family val="3"/>
        <charset val="128"/>
      </rPr>
      <t>偶数番目の珠と奇数番目の珠を同じ個数だけ取り</t>
    </r>
    <r>
      <rPr>
        <b/>
        <sz val="18"/>
        <color theme="1"/>
        <rFont val="Aptos Narrow"/>
        <family val="2"/>
        <scheme val="minor"/>
      </rPr>
      <t xml:space="preserve"> </t>
    </r>
    <r>
      <rPr>
        <b/>
        <sz val="18"/>
        <color theme="1"/>
        <rFont val="ＭＳ ゴシック"/>
        <family val="3"/>
        <charset val="128"/>
      </rPr>
      <t>去りたい。</t>
    </r>
    <phoneticPr fontId="8"/>
  </si>
  <si>
    <r>
      <rPr>
        <b/>
        <sz val="18"/>
        <color theme="1"/>
        <rFont val="ＭＳ ゴシック"/>
        <family val="3"/>
        <charset val="128"/>
      </rPr>
      <t>いくとおりの取りかたがあるか</t>
    </r>
    <r>
      <rPr>
        <b/>
        <sz val="18"/>
        <color theme="1"/>
        <rFont val="游ゴシック"/>
        <family val="3"/>
        <charset val="128"/>
      </rPr>
      <t>。</t>
    </r>
    <phoneticPr fontId="8"/>
  </si>
  <si>
    <r>
      <rPr>
        <b/>
        <sz val="18"/>
        <color theme="1"/>
        <rFont val="Aptos Narrow"/>
        <family val="3"/>
        <charset val="128"/>
        <scheme val="minor"/>
      </rPr>
      <t>※ただし取らない場合は除く</t>
    </r>
    <rPh sb="4" eb="5">
      <t>ト</t>
    </rPh>
    <rPh sb="8" eb="10">
      <t>バアイ</t>
    </rPh>
    <rPh sb="11" eb="12">
      <t>ノゾ</t>
    </rPh>
    <phoneticPr fontId="8"/>
  </si>
  <si>
    <t>上記より奇数、偶数では3つずつは取れない</t>
    <rPh sb="0" eb="2">
      <t>ジョウキ</t>
    </rPh>
    <rPh sb="4" eb="6">
      <t>キスウ</t>
    </rPh>
    <rPh sb="7" eb="9">
      <t>グウスウ</t>
    </rPh>
    <rPh sb="16" eb="17">
      <t>ト</t>
    </rPh>
    <phoneticPr fontId="8"/>
  </si>
  <si>
    <r>
      <rPr>
        <sz val="11"/>
        <color theme="1"/>
        <rFont val="ＭＳ ゴシック"/>
        <family val="3"/>
        <charset val="128"/>
      </rPr>
      <t>計</t>
    </r>
    <r>
      <rPr>
        <sz val="11"/>
        <color theme="1"/>
        <rFont val="Aptos Narrow"/>
        <family val="2"/>
        <scheme val="minor"/>
      </rPr>
      <t>27</t>
    </r>
    <r>
      <rPr>
        <sz val="11"/>
        <color theme="1"/>
        <rFont val="ＭＳ ゴシック"/>
        <family val="3"/>
        <charset val="128"/>
      </rPr>
      <t>通り</t>
    </r>
    <phoneticPr fontId="8"/>
  </si>
  <si>
    <r>
      <rPr>
        <sz val="11"/>
        <color theme="1"/>
        <rFont val="ＭＳ ゴシック"/>
        <family val="3"/>
        <charset val="128"/>
      </rPr>
      <t>【</t>
    </r>
    <r>
      <rPr>
        <sz val="11"/>
        <color theme="1"/>
        <rFont val="Aptos Narrow"/>
        <family val="2"/>
        <scheme val="minor"/>
      </rPr>
      <t>2</t>
    </r>
    <r>
      <rPr>
        <sz val="11"/>
        <color theme="1"/>
        <rFont val="ＭＳ ゴシック"/>
        <family val="3"/>
        <charset val="128"/>
      </rPr>
      <t>】</t>
    </r>
    <phoneticPr fontId="8"/>
  </si>
  <si>
    <r>
      <rPr>
        <sz val="11"/>
        <color theme="1"/>
        <rFont val="ＭＳ ゴシック"/>
        <family val="3"/>
        <charset val="128"/>
      </rPr>
      <t>【</t>
    </r>
    <r>
      <rPr>
        <sz val="11"/>
        <color theme="1"/>
        <rFont val="Aptos Narrow"/>
        <family val="2"/>
        <scheme val="minor"/>
      </rPr>
      <t>1</t>
    </r>
    <r>
      <rPr>
        <sz val="11"/>
        <color theme="1"/>
        <rFont val="ＭＳ ゴシック"/>
        <family val="3"/>
        <charset val="128"/>
      </rPr>
      <t>】と</t>
    </r>
    <r>
      <rPr>
        <sz val="11"/>
        <color theme="1"/>
        <rFont val="游ゴシック"/>
        <family val="3"/>
        <charset val="128"/>
      </rPr>
      <t>【</t>
    </r>
    <r>
      <rPr>
        <sz val="11"/>
        <color theme="1"/>
        <rFont val="Aptos Narrow"/>
        <scheme val="minor"/>
      </rPr>
      <t>2</t>
    </r>
    <r>
      <rPr>
        <sz val="11"/>
        <color theme="1"/>
        <rFont val="游ゴシック"/>
        <family val="3"/>
        <charset val="128"/>
      </rPr>
      <t>】から</t>
    </r>
    <phoneticPr fontId="8"/>
  </si>
  <si>
    <t>偶数</t>
    <rPh sb="0" eb="2">
      <t>グウスウ</t>
    </rPh>
    <phoneticPr fontId="8"/>
  </si>
  <si>
    <r>
      <rPr>
        <sz val="11"/>
        <color theme="1"/>
        <rFont val="ＭＳ ゴシック"/>
        <family val="3"/>
        <charset val="128"/>
      </rPr>
      <t>偶数</t>
    </r>
    <r>
      <rPr>
        <sz val="11"/>
        <color theme="1"/>
        <rFont val="Aptos Narrow"/>
        <family val="2"/>
        <scheme val="minor"/>
      </rPr>
      <t>の取り方</t>
    </r>
    <rPh sb="0" eb="2">
      <t>グウスウ</t>
    </rPh>
    <rPh sb="3" eb="4">
      <t>ト</t>
    </rPh>
    <rPh sb="5" eb="6">
      <t>カタ</t>
    </rPh>
    <phoneticPr fontId="8"/>
  </si>
  <si>
    <t>奇数の2つの取り方</t>
    <rPh sb="6" eb="7">
      <t>ト</t>
    </rPh>
    <rPh sb="8" eb="9">
      <t>カタ</t>
    </rPh>
    <phoneticPr fontId="8"/>
  </si>
  <si>
    <r>
      <rPr>
        <sz val="11"/>
        <color theme="1"/>
        <rFont val="ＭＳ ゴシック"/>
        <family val="3"/>
        <charset val="128"/>
      </rPr>
      <t>奇数の</t>
    </r>
    <r>
      <rPr>
        <sz val="11"/>
        <color theme="1"/>
        <rFont val="Aptos Narrow"/>
        <family val="3"/>
      </rPr>
      <t>2</t>
    </r>
    <r>
      <rPr>
        <sz val="11"/>
        <color theme="1"/>
        <rFont val="游ゴシック"/>
        <family val="3"/>
        <charset val="128"/>
      </rPr>
      <t>つの</t>
    </r>
    <r>
      <rPr>
        <sz val="11"/>
        <color theme="1"/>
        <rFont val="ＭＳ ゴシック"/>
        <family val="3"/>
        <charset val="128"/>
      </rPr>
      <t>取り方は</t>
    </r>
    <r>
      <rPr>
        <vertAlign val="subscript"/>
        <sz val="11"/>
        <color theme="1"/>
        <rFont val="Aptos Narrow"/>
        <family val="2"/>
        <scheme val="minor"/>
      </rPr>
      <t>6</t>
    </r>
    <r>
      <rPr>
        <sz val="11"/>
        <color theme="1"/>
        <rFont val="Aptos Narrow"/>
        <family val="2"/>
        <scheme val="minor"/>
      </rPr>
      <t>C</t>
    </r>
    <r>
      <rPr>
        <vertAlign val="subscript"/>
        <sz val="11"/>
        <color theme="1"/>
        <rFont val="Aptos Narrow"/>
        <family val="2"/>
        <scheme val="minor"/>
      </rPr>
      <t>2</t>
    </r>
    <phoneticPr fontId="8"/>
  </si>
  <si>
    <r>
      <rPr>
        <sz val="11"/>
        <color theme="1"/>
        <rFont val="ＭＳ ゴシック"/>
        <family val="3"/>
        <charset val="128"/>
      </rPr>
      <t>奇数の取り方は</t>
    </r>
    <r>
      <rPr>
        <vertAlign val="subscript"/>
        <sz val="11"/>
        <color theme="1"/>
        <rFont val="Aptos Narrow"/>
        <family val="2"/>
        <scheme val="minor"/>
      </rPr>
      <t>6</t>
    </r>
    <r>
      <rPr>
        <sz val="11"/>
        <color theme="1"/>
        <rFont val="Aptos Narrow"/>
        <family val="2"/>
        <scheme val="minor"/>
      </rPr>
      <t>C</t>
    </r>
    <r>
      <rPr>
        <vertAlign val="subscript"/>
        <sz val="11"/>
        <color theme="1"/>
        <rFont val="Aptos Narrow"/>
        <family val="2"/>
        <scheme val="minor"/>
      </rPr>
      <t>1</t>
    </r>
    <phoneticPr fontId="8"/>
  </si>
  <si>
    <r>
      <t>6</t>
    </r>
    <r>
      <rPr>
        <sz val="11"/>
        <color theme="1"/>
        <rFont val="ＭＳ ゴシック"/>
        <family val="3"/>
        <charset val="128"/>
      </rPr>
      <t>通り</t>
    </r>
    <phoneticPr fontId="8"/>
  </si>
  <si>
    <t>以下同様に考えて</t>
    <rPh sb="0" eb="2">
      <t>イカ</t>
    </rPh>
    <rPh sb="2" eb="4">
      <t>ドウヨウ</t>
    </rPh>
    <rPh sb="5" eb="6">
      <t>カンガ</t>
    </rPh>
    <phoneticPr fontId="8"/>
  </si>
  <si>
    <t>奇数</t>
    <phoneticPr fontId="8"/>
  </si>
  <si>
    <t>奇数の1を取る時</t>
    <rPh sb="5" eb="6">
      <t>ト</t>
    </rPh>
    <rPh sb="7" eb="8">
      <t>トキ</t>
    </rPh>
    <phoneticPr fontId="8"/>
  </si>
  <si>
    <t>同様に奇数3、5・・11を取る時も4通り</t>
    <rPh sb="0" eb="2">
      <t>ドウヨウ</t>
    </rPh>
    <rPh sb="3" eb="5">
      <t>キスウ</t>
    </rPh>
    <rPh sb="13" eb="14">
      <t>ト</t>
    </rPh>
    <rPh sb="15" eb="16">
      <t>トキ</t>
    </rPh>
    <rPh sb="18" eb="19">
      <t>トオ</t>
    </rPh>
    <phoneticPr fontId="8"/>
  </si>
  <si>
    <t>6け4ほ24</t>
    <phoneticPr fontId="8"/>
  </si>
  <si>
    <r>
      <t>7</t>
    </r>
    <r>
      <rPr>
        <b/>
        <sz val="18"/>
        <color theme="1"/>
        <rFont val="ＭＳ ゴシック"/>
        <family val="3"/>
        <charset val="128"/>
      </rPr>
      <t>個の白い碁石と</t>
    </r>
    <r>
      <rPr>
        <b/>
        <sz val="18"/>
        <color theme="1"/>
        <rFont val="Aptos Narrow"/>
        <family val="2"/>
        <scheme val="minor"/>
      </rPr>
      <t>5</t>
    </r>
    <r>
      <rPr>
        <b/>
        <sz val="18"/>
        <color theme="1"/>
        <rFont val="ＭＳ ゴシック"/>
        <family val="3"/>
        <charset val="128"/>
      </rPr>
      <t>個の黒い碁石を一列に並べる。</t>
    </r>
    <phoneticPr fontId="8"/>
  </si>
  <si>
    <r>
      <t xml:space="preserve"> </t>
    </r>
    <r>
      <rPr>
        <b/>
        <sz val="18"/>
        <color theme="1"/>
        <rFont val="游ゴシック"/>
        <family val="3"/>
        <charset val="128"/>
      </rPr>
      <t>このような並べかたは、全部でいくとおりあるか。</t>
    </r>
    <phoneticPr fontId="8"/>
  </si>
  <si>
    <t>とくに、はじめから何個目までで数えても、</t>
    <phoneticPr fontId="8"/>
  </si>
  <si>
    <r>
      <rPr>
        <b/>
        <sz val="18"/>
        <color theme="1"/>
        <rFont val="ＭＳ ゴシック"/>
        <family val="3"/>
        <charset val="128"/>
      </rPr>
      <t>白石のほうが黒石</t>
    </r>
    <r>
      <rPr>
        <b/>
        <sz val="18"/>
        <color theme="1"/>
        <rFont val="Aptos Narrow"/>
        <family val="2"/>
        <scheme val="minor"/>
      </rPr>
      <t xml:space="preserve"> </t>
    </r>
    <r>
      <rPr>
        <b/>
        <sz val="18"/>
        <color theme="1"/>
        <rFont val="ＭＳ ゴシック"/>
        <family val="3"/>
        <charset val="128"/>
      </rPr>
      <t>よりも多いような並べかたは、</t>
    </r>
    <phoneticPr fontId="8"/>
  </si>
  <si>
    <t>全部でいくとおりあるか。</t>
  </si>
  <si>
    <r>
      <rPr>
        <vertAlign val="subscript"/>
        <sz val="11"/>
        <color theme="1"/>
        <rFont val="Aptos Narrow"/>
        <family val="2"/>
        <scheme val="minor"/>
      </rPr>
      <t>12</t>
    </r>
    <r>
      <rPr>
        <sz val="11"/>
        <color theme="1"/>
        <rFont val="Aptos Narrow"/>
        <scheme val="minor"/>
      </rPr>
      <t>C</t>
    </r>
    <r>
      <rPr>
        <vertAlign val="subscript"/>
        <sz val="11"/>
        <color theme="1"/>
        <rFont val="Aptos Narrow"/>
        <family val="2"/>
        <scheme val="minor"/>
      </rPr>
      <t>5</t>
    </r>
    <phoneticPr fontId="8"/>
  </si>
  <si>
    <r>
      <rPr>
        <b/>
        <sz val="18"/>
        <color theme="1"/>
        <rFont val="ＭＳ ゴシック"/>
        <family val="3"/>
        <charset val="128"/>
      </rPr>
      <t>一列にならんだ</t>
    </r>
    <r>
      <rPr>
        <b/>
        <sz val="18"/>
        <color theme="1"/>
        <rFont val="Aptos Narrow"/>
        <family val="2"/>
        <scheme val="minor"/>
      </rPr>
      <t>3</t>
    </r>
    <r>
      <rPr>
        <b/>
        <sz val="18"/>
        <color theme="1"/>
        <rFont val="ＭＳ ゴシック"/>
        <family val="3"/>
        <charset val="128"/>
      </rPr>
      <t>つの箱があり、左端の箱に玉が</t>
    </r>
    <r>
      <rPr>
        <b/>
        <sz val="18"/>
        <color theme="1"/>
        <rFont val="Aptos Narrow"/>
        <family val="2"/>
        <scheme val="minor"/>
      </rPr>
      <t>1</t>
    </r>
    <r>
      <rPr>
        <b/>
        <sz val="18"/>
        <color theme="1"/>
        <rFont val="ＭＳ ゴシック"/>
        <family val="3"/>
        <charset val="128"/>
      </rPr>
      <t>個いれてあ</t>
    </r>
    <r>
      <rPr>
        <b/>
        <sz val="18"/>
        <color theme="1"/>
        <rFont val="Aptos Narrow"/>
        <family val="2"/>
        <scheme val="minor"/>
      </rPr>
      <t xml:space="preserve"> </t>
    </r>
    <r>
      <rPr>
        <b/>
        <sz val="18"/>
        <color theme="1"/>
        <rFont val="ＭＳ ゴシック"/>
        <family val="3"/>
        <charset val="128"/>
      </rPr>
      <t>る。</t>
    </r>
    <phoneticPr fontId="8"/>
  </si>
  <si>
    <r>
      <rPr>
        <b/>
        <sz val="18"/>
        <color theme="1"/>
        <rFont val="ＭＳ ゴシック"/>
        <family val="3"/>
        <charset val="128"/>
      </rPr>
      <t>つぎの</t>
    </r>
    <r>
      <rPr>
        <b/>
        <sz val="18"/>
        <color theme="1"/>
        <rFont val="Aptos Narrow"/>
        <family val="2"/>
        <scheme val="minor"/>
      </rPr>
      <t>2</t>
    </r>
    <r>
      <rPr>
        <b/>
        <sz val="18"/>
        <color theme="1"/>
        <rFont val="ＭＳ ゴシック"/>
        <family val="3"/>
        <charset val="128"/>
      </rPr>
      <t>種類の移動</t>
    </r>
    <r>
      <rPr>
        <b/>
        <sz val="18"/>
        <color theme="1"/>
        <rFont val="Aptos Narrow"/>
        <family val="2"/>
        <scheme val="minor"/>
      </rPr>
      <t xml:space="preserve"> A</t>
    </r>
    <r>
      <rPr>
        <b/>
        <sz val="18"/>
        <color theme="1"/>
        <rFont val="游ゴシック"/>
        <family val="2"/>
        <charset val="128"/>
      </rPr>
      <t>、</t>
    </r>
    <r>
      <rPr>
        <b/>
        <sz val="18"/>
        <color theme="1"/>
        <rFont val="Aptos Narrow"/>
        <family val="2"/>
        <scheme val="minor"/>
      </rPr>
      <t>B</t>
    </r>
    <r>
      <rPr>
        <b/>
        <sz val="18"/>
        <color theme="1"/>
        <rFont val="ＭＳ ゴシック"/>
        <family val="3"/>
        <charset val="128"/>
      </rPr>
      <t>を適当に</t>
    </r>
    <r>
      <rPr>
        <b/>
        <sz val="18"/>
        <color theme="1"/>
        <rFont val="Aptos Narrow"/>
        <family val="2"/>
        <scheme val="minor"/>
      </rPr>
      <t>6</t>
    </r>
    <r>
      <rPr>
        <b/>
        <sz val="18"/>
        <color theme="1"/>
        <rFont val="ＭＳ ゴシック"/>
        <family val="3"/>
        <charset val="128"/>
      </rPr>
      <t>回組み合わせて、</t>
    </r>
    <phoneticPr fontId="8"/>
  </si>
  <si>
    <r>
      <rPr>
        <b/>
        <sz val="18"/>
        <color theme="1"/>
        <rFont val="ＭＳ ゴシック"/>
        <family val="3"/>
        <charset val="128"/>
      </rPr>
      <t>玉を右端</t>
    </r>
    <r>
      <rPr>
        <b/>
        <sz val="18"/>
        <color theme="1"/>
        <rFont val="Aptos Narrow"/>
        <family val="2"/>
        <scheme val="minor"/>
      </rPr>
      <t xml:space="preserve"> </t>
    </r>
    <r>
      <rPr>
        <b/>
        <sz val="18"/>
        <color theme="1"/>
        <rFont val="ＭＳ ゴシック"/>
        <family val="3"/>
        <charset val="128"/>
      </rPr>
      <t>の箱にうつしたい。いくとおりの方法があるか。</t>
    </r>
    <phoneticPr fontId="8"/>
  </si>
  <si>
    <r>
      <rPr>
        <b/>
        <sz val="18"/>
        <color theme="1"/>
        <rFont val="ＭＳ ゴシック"/>
        <family val="3"/>
        <charset val="128"/>
      </rPr>
      <t>移動</t>
    </r>
    <r>
      <rPr>
        <b/>
        <sz val="18"/>
        <color theme="1"/>
        <rFont val="Aptos Narrow"/>
        <family val="2"/>
        <scheme val="minor"/>
      </rPr>
      <t xml:space="preserve">A: </t>
    </r>
    <r>
      <rPr>
        <b/>
        <sz val="18"/>
        <color theme="1"/>
        <rFont val="ＭＳ ゴシック"/>
        <family val="3"/>
        <charset val="128"/>
      </rPr>
      <t>右隣りに箱があればその箱へ</t>
    </r>
    <r>
      <rPr>
        <b/>
        <sz val="18"/>
        <color theme="1"/>
        <rFont val="Aptos Narrow"/>
        <family val="2"/>
        <scheme val="minor"/>
      </rPr>
      <t xml:space="preserve">, </t>
    </r>
    <r>
      <rPr>
        <b/>
        <sz val="18"/>
        <color theme="1"/>
        <rFont val="ＭＳ ゴシック"/>
        <family val="3"/>
        <charset val="128"/>
      </rPr>
      <t>なければそのまま</t>
    </r>
    <r>
      <rPr>
        <b/>
        <sz val="18"/>
        <color theme="1"/>
        <rFont val="Aptos Narrow"/>
        <family val="2"/>
        <scheme val="minor"/>
      </rPr>
      <t xml:space="preserve">: </t>
    </r>
    <phoneticPr fontId="8"/>
  </si>
  <si>
    <r>
      <t>移動</t>
    </r>
    <r>
      <rPr>
        <b/>
        <sz val="18"/>
        <color theme="1"/>
        <rFont val="Aptos Narrow"/>
        <family val="2"/>
        <scheme val="minor"/>
      </rPr>
      <t xml:space="preserve">B: </t>
    </r>
    <r>
      <rPr>
        <b/>
        <sz val="18"/>
        <color theme="1"/>
        <rFont val="Aptos Narrow"/>
        <family val="3"/>
        <charset val="128"/>
        <scheme val="minor"/>
      </rPr>
      <t>左隣りに箱があればその箱へ、なければ右隣りへ</t>
    </r>
    <r>
      <rPr>
        <b/>
        <sz val="18"/>
        <color theme="1"/>
        <rFont val="Aptos Narrow"/>
        <family val="2"/>
        <scheme val="minor"/>
      </rPr>
      <t>:</t>
    </r>
  </si>
  <si>
    <r>
      <t xml:space="preserve"> </t>
    </r>
    <r>
      <rPr>
        <b/>
        <sz val="18"/>
        <color theme="1"/>
        <rFont val="Aptos Narrow"/>
        <family val="3"/>
        <charset val="128"/>
        <scheme val="minor"/>
      </rPr>
      <t>さて、その方法は何通りあるで</t>
    </r>
    <r>
      <rPr>
        <b/>
        <sz val="18"/>
        <color theme="1"/>
        <rFont val="Aptos Narrow"/>
        <family val="2"/>
        <scheme val="minor"/>
      </rPr>
      <t xml:space="preserve"> </t>
    </r>
    <r>
      <rPr>
        <b/>
        <sz val="18"/>
        <color theme="1"/>
        <rFont val="Aptos Narrow"/>
        <family val="3"/>
        <charset val="128"/>
        <scheme val="minor"/>
      </rPr>
      <t>しょうか。</t>
    </r>
  </si>
  <si>
    <r>
      <rPr>
        <b/>
        <sz val="18"/>
        <color theme="1"/>
        <rFont val="ＭＳ ゴシック"/>
        <family val="3"/>
        <charset val="128"/>
      </rPr>
      <t>右の図は、</t>
    </r>
    <r>
      <rPr>
        <b/>
        <sz val="18"/>
        <color theme="1"/>
        <rFont val="Aptos Narrow"/>
        <family val="2"/>
        <scheme val="minor"/>
      </rPr>
      <t>A</t>
    </r>
    <r>
      <rPr>
        <b/>
        <sz val="18"/>
        <color theme="1"/>
        <rFont val="ＭＳ ゴシック"/>
        <family val="3"/>
        <charset val="128"/>
      </rPr>
      <t>を始点</t>
    </r>
    <r>
      <rPr>
        <b/>
        <sz val="18"/>
        <color theme="1"/>
        <rFont val="Aptos Narrow"/>
        <family val="2"/>
        <scheme val="minor"/>
      </rPr>
      <t>,B</t>
    </r>
    <r>
      <rPr>
        <b/>
        <sz val="18"/>
        <color theme="1"/>
        <rFont val="ＭＳ ゴシック"/>
        <family val="3"/>
        <charset val="128"/>
      </rPr>
      <t>を</t>
    </r>
    <r>
      <rPr>
        <b/>
        <sz val="18"/>
        <color theme="1"/>
        <rFont val="Aptos Narrow"/>
        <family val="2"/>
        <scheme val="minor"/>
      </rPr>
      <t xml:space="preserve"> </t>
    </r>
    <r>
      <rPr>
        <b/>
        <sz val="18"/>
        <color theme="1"/>
        <rFont val="ＭＳ ゴシック"/>
        <family val="3"/>
        <charset val="128"/>
      </rPr>
      <t>終点として一筆がきができます。</t>
    </r>
    <phoneticPr fontId="8"/>
  </si>
  <si>
    <r>
      <rPr>
        <sz val="11"/>
        <color theme="1"/>
        <rFont val="Aptos Narrow"/>
        <family val="3"/>
      </rPr>
      <t>3</t>
    </r>
    <r>
      <rPr>
        <sz val="11"/>
        <color theme="1"/>
        <rFont val="游ゴシック"/>
        <family val="3"/>
        <charset val="128"/>
      </rPr>
      <t>つ目から</t>
    </r>
    <r>
      <rPr>
        <sz val="11"/>
        <color theme="1"/>
        <rFont val="Aptos Narrow"/>
        <family val="3"/>
      </rPr>
      <t>7</t>
    </r>
    <r>
      <rPr>
        <sz val="11"/>
        <color theme="1"/>
        <rFont val="游ゴシック"/>
        <family val="3"/>
        <charset val="128"/>
      </rPr>
      <t>つ目までの</t>
    </r>
    <r>
      <rPr>
        <sz val="11"/>
        <color theme="1"/>
        <rFont val="ＭＳ ゴシック"/>
        <family val="3"/>
        <charset val="128"/>
      </rPr>
      <t>白の個数で場合分けしていく</t>
    </r>
    <rPh sb="2" eb="3">
      <t>メ</t>
    </rPh>
    <rPh sb="7" eb="8">
      <t>メ</t>
    </rPh>
    <rPh sb="13" eb="15">
      <t>コスウ</t>
    </rPh>
    <rPh sb="16" eb="18">
      <t>バアイ</t>
    </rPh>
    <rPh sb="18" eb="19">
      <t>ワ</t>
    </rPh>
    <phoneticPr fontId="8"/>
  </si>
  <si>
    <t>黒</t>
    <phoneticPr fontId="8"/>
  </si>
  <si>
    <t>3つ目から7つ目で黒が取りえるのは5通り</t>
    <rPh sb="2" eb="3">
      <t>メ</t>
    </rPh>
    <rPh sb="7" eb="8">
      <t>メ</t>
    </rPh>
    <rPh sb="9" eb="10">
      <t>クロ</t>
    </rPh>
    <rPh sb="11" eb="12">
      <t>ト</t>
    </rPh>
    <rPh sb="18" eb="19">
      <t>トオ</t>
    </rPh>
    <phoneticPr fontId="8"/>
  </si>
  <si>
    <r>
      <t>8</t>
    </r>
    <r>
      <rPr>
        <sz val="11"/>
        <color theme="1"/>
        <rFont val="ＭＳ ゴシック"/>
        <family val="3"/>
        <charset val="128"/>
      </rPr>
      <t>つ目から</t>
    </r>
    <r>
      <rPr>
        <sz val="11"/>
        <color theme="1"/>
        <rFont val="Aptos Narrow"/>
        <family val="2"/>
        <scheme val="minor"/>
      </rPr>
      <t>12</t>
    </r>
    <r>
      <rPr>
        <sz val="11"/>
        <color theme="1"/>
        <rFont val="ＭＳ ゴシック"/>
        <family val="3"/>
        <charset val="128"/>
      </rPr>
      <t>つ目で白が取りえるのは</t>
    </r>
    <r>
      <rPr>
        <sz val="11"/>
        <color theme="1"/>
        <rFont val="Aptos Narrow"/>
        <family val="2"/>
        <scheme val="minor"/>
      </rPr>
      <t>5</t>
    </r>
    <r>
      <rPr>
        <sz val="11"/>
        <color theme="1"/>
        <rFont val="ＭＳ ゴシック"/>
        <family val="3"/>
        <charset val="128"/>
      </rPr>
      <t>通り</t>
    </r>
    <rPh sb="2" eb="3">
      <t>メ</t>
    </rPh>
    <rPh sb="8" eb="9">
      <t>メ</t>
    </rPh>
    <rPh sb="10" eb="11">
      <t>シロ</t>
    </rPh>
    <rPh sb="12" eb="13">
      <t>ト</t>
    </rPh>
    <rPh sb="19" eb="20">
      <t>トオ</t>
    </rPh>
    <phoneticPr fontId="8"/>
  </si>
  <si>
    <t>25通り</t>
    <rPh sb="2" eb="3">
      <t>トオ</t>
    </rPh>
    <phoneticPr fontId="8"/>
  </si>
  <si>
    <t>3つ目と4つ目に黒となる場合は除外する</t>
    <rPh sb="2" eb="3">
      <t>メ</t>
    </rPh>
    <rPh sb="6" eb="7">
      <t>メ</t>
    </rPh>
    <rPh sb="8" eb="9">
      <t>クロ</t>
    </rPh>
    <rPh sb="12" eb="14">
      <t>バアイ</t>
    </rPh>
    <rPh sb="15" eb="17">
      <t>ジョガイ</t>
    </rPh>
    <phoneticPr fontId="8"/>
  </si>
  <si>
    <t>白</t>
    <phoneticPr fontId="8"/>
  </si>
  <si>
    <r>
      <t>3</t>
    </r>
    <r>
      <rPr>
        <sz val="11"/>
        <color theme="1"/>
        <rFont val="ＭＳ ゴシック"/>
        <family val="3"/>
        <charset val="128"/>
      </rPr>
      <t>つ目から</t>
    </r>
    <r>
      <rPr>
        <sz val="11"/>
        <color theme="1"/>
        <rFont val="Aptos Narrow"/>
        <family val="2"/>
        <scheme val="minor"/>
      </rPr>
      <t>7</t>
    </r>
    <r>
      <rPr>
        <sz val="11"/>
        <color theme="1"/>
        <rFont val="ＭＳ ゴシック"/>
        <family val="3"/>
        <charset val="128"/>
      </rPr>
      <t>つ目で黒が取りえるのは</t>
    </r>
    <r>
      <rPr>
        <sz val="11"/>
        <color theme="1"/>
        <rFont val="Aptos Narrow"/>
        <family val="2"/>
        <scheme val="minor"/>
      </rPr>
      <t>9</t>
    </r>
    <r>
      <rPr>
        <sz val="11"/>
        <color theme="1"/>
        <rFont val="ＭＳ ゴシック"/>
        <family val="3"/>
        <charset val="128"/>
      </rPr>
      <t>通り</t>
    </r>
    <rPh sb="2" eb="3">
      <t>メ</t>
    </rPh>
    <rPh sb="7" eb="8">
      <t>メ</t>
    </rPh>
    <rPh sb="9" eb="10">
      <t>クロ</t>
    </rPh>
    <rPh sb="11" eb="12">
      <t>ト</t>
    </rPh>
    <rPh sb="18" eb="19">
      <t>トオ</t>
    </rPh>
    <phoneticPr fontId="8"/>
  </si>
  <si>
    <r>
      <t>8</t>
    </r>
    <r>
      <rPr>
        <sz val="11"/>
        <color theme="1"/>
        <rFont val="ＭＳ ゴシック"/>
        <family val="3"/>
        <charset val="128"/>
      </rPr>
      <t>つ目から</t>
    </r>
    <r>
      <rPr>
        <sz val="11"/>
        <color theme="1"/>
        <rFont val="Aptos Narrow"/>
        <family val="2"/>
        <scheme val="minor"/>
      </rPr>
      <t>12</t>
    </r>
    <r>
      <rPr>
        <sz val="11"/>
        <color theme="1"/>
        <rFont val="ＭＳ ゴシック"/>
        <family val="3"/>
        <charset val="128"/>
      </rPr>
      <t>つ目で白が取りえるのは</t>
    </r>
    <r>
      <rPr>
        <sz val="11"/>
        <color theme="1"/>
        <rFont val="Aptos Narrow"/>
        <family val="2"/>
        <scheme val="minor"/>
      </rPr>
      <t>9</t>
    </r>
    <r>
      <rPr>
        <sz val="11"/>
        <color theme="1"/>
        <rFont val="ＭＳ ゴシック"/>
        <family val="3"/>
        <charset val="128"/>
      </rPr>
      <t>通り</t>
    </r>
    <rPh sb="2" eb="3">
      <t>メ</t>
    </rPh>
    <rPh sb="8" eb="9">
      <t>メ</t>
    </rPh>
    <rPh sb="10" eb="11">
      <t>シロ</t>
    </rPh>
    <rPh sb="12" eb="13">
      <t>ト</t>
    </rPh>
    <rPh sb="19" eb="20">
      <t>トオ</t>
    </rPh>
    <phoneticPr fontId="8"/>
  </si>
  <si>
    <r>
      <t>8</t>
    </r>
    <r>
      <rPr>
        <sz val="11"/>
        <color theme="1"/>
        <rFont val="ＭＳ ゴシック"/>
        <family val="3"/>
        <charset val="128"/>
      </rPr>
      <t>つ目から</t>
    </r>
    <r>
      <rPr>
        <sz val="11"/>
        <color theme="1"/>
        <rFont val="Aptos Narrow"/>
        <family val="2"/>
        <scheme val="minor"/>
      </rPr>
      <t>10</t>
    </r>
    <r>
      <rPr>
        <sz val="11"/>
        <color theme="1"/>
        <rFont val="ＭＳ ゴシック"/>
        <family val="3"/>
        <charset val="128"/>
      </rPr>
      <t>つ目が黒の場合は除外する</t>
    </r>
    <rPh sb="2" eb="3">
      <t>メ</t>
    </rPh>
    <rPh sb="8" eb="9">
      <t>メ</t>
    </rPh>
    <rPh sb="10" eb="11">
      <t>クロ</t>
    </rPh>
    <rPh sb="12" eb="14">
      <t>バアイ</t>
    </rPh>
    <rPh sb="15" eb="17">
      <t>ジョガイ</t>
    </rPh>
    <phoneticPr fontId="8"/>
  </si>
  <si>
    <t>81通り</t>
    <rPh sb="2" eb="3">
      <t>トオ</t>
    </rPh>
    <phoneticPr fontId="8"/>
  </si>
  <si>
    <t>上記5つの場合は除外する</t>
    <rPh sb="0" eb="2">
      <t>ジョウキ</t>
    </rPh>
    <rPh sb="5" eb="7">
      <t>バアイ</t>
    </rPh>
    <rPh sb="8" eb="10">
      <t>ジョガイ</t>
    </rPh>
    <phoneticPr fontId="8"/>
  </si>
  <si>
    <r>
      <t>8</t>
    </r>
    <r>
      <rPr>
        <sz val="11"/>
        <color theme="1"/>
        <rFont val="ＭＳ ゴシック"/>
        <family val="3"/>
        <charset val="128"/>
      </rPr>
      <t>つ目から</t>
    </r>
    <r>
      <rPr>
        <sz val="11"/>
        <color theme="1"/>
        <rFont val="Aptos Narrow"/>
        <family val="2"/>
        <scheme val="minor"/>
      </rPr>
      <t>12</t>
    </r>
    <r>
      <rPr>
        <sz val="11"/>
        <color theme="1"/>
        <rFont val="ＭＳ ゴシック"/>
        <family val="3"/>
        <charset val="128"/>
      </rPr>
      <t>つ目で並べられるのは上記</t>
    </r>
    <r>
      <rPr>
        <sz val="11"/>
        <color theme="1"/>
        <rFont val="Aptos Narrow"/>
        <family val="3"/>
      </rPr>
      <t>5</t>
    </r>
    <r>
      <rPr>
        <sz val="11"/>
        <color theme="1"/>
        <rFont val="游ゴシック"/>
        <family val="3"/>
        <charset val="128"/>
      </rPr>
      <t>通り</t>
    </r>
    <rPh sb="2" eb="3">
      <t>メ</t>
    </rPh>
    <rPh sb="8" eb="9">
      <t>メ</t>
    </rPh>
    <rPh sb="10" eb="11">
      <t>ナラ</t>
    </rPh>
    <rPh sb="17" eb="19">
      <t>ジョウキ</t>
    </rPh>
    <rPh sb="20" eb="21">
      <t>トオ</t>
    </rPh>
    <phoneticPr fontId="8"/>
  </si>
  <si>
    <r>
      <t>3</t>
    </r>
    <r>
      <rPr>
        <sz val="11"/>
        <color theme="1"/>
        <rFont val="ＭＳ ゴシック"/>
        <family val="3"/>
        <charset val="128"/>
      </rPr>
      <t>つ目から</t>
    </r>
    <r>
      <rPr>
        <sz val="11"/>
        <color theme="1"/>
        <rFont val="Aptos Narrow"/>
        <family val="2"/>
        <scheme val="minor"/>
      </rPr>
      <t>7</t>
    </r>
    <r>
      <rPr>
        <sz val="11"/>
        <color theme="1"/>
        <rFont val="ＭＳ ゴシック"/>
        <family val="3"/>
        <charset val="128"/>
      </rPr>
      <t>つ目で黒が取りえるのは</t>
    </r>
    <r>
      <rPr>
        <sz val="11"/>
        <color theme="1"/>
        <rFont val="Aptos Narrow"/>
        <family val="2"/>
        <scheme val="minor"/>
      </rPr>
      <t>5</t>
    </r>
    <r>
      <rPr>
        <sz val="11"/>
        <color theme="1"/>
        <rFont val="ＭＳ ゴシック"/>
        <family val="3"/>
        <charset val="128"/>
      </rPr>
      <t>通り</t>
    </r>
    <rPh sb="2" eb="3">
      <t>メ</t>
    </rPh>
    <rPh sb="7" eb="8">
      <t>メ</t>
    </rPh>
    <rPh sb="9" eb="10">
      <t>クロ</t>
    </rPh>
    <rPh sb="11" eb="12">
      <t>ト</t>
    </rPh>
    <rPh sb="18" eb="19">
      <t>トオ</t>
    </rPh>
    <phoneticPr fontId="8"/>
  </si>
  <si>
    <r>
      <t>25</t>
    </r>
    <r>
      <rPr>
        <sz val="11"/>
        <color theme="1"/>
        <rFont val="ＭＳ ゴシック"/>
        <family val="3"/>
        <charset val="128"/>
      </rPr>
      <t>通り</t>
    </r>
    <rPh sb="2" eb="3">
      <t>トオ</t>
    </rPh>
    <phoneticPr fontId="8"/>
  </si>
  <si>
    <t>132通り</t>
    <rPh sb="3" eb="4">
      <t>トオ</t>
    </rPh>
    <phoneticPr fontId="8"/>
  </si>
  <si>
    <t>白の碁石が+1、黒の碁石が-1の計算になるとすると、</t>
    <rPh sb="0" eb="1">
      <t>シロ</t>
    </rPh>
    <rPh sb="2" eb="4">
      <t>ゴイシ</t>
    </rPh>
    <rPh sb="8" eb="9">
      <t>クロ</t>
    </rPh>
    <rPh sb="10" eb="12">
      <t>ゴイシ</t>
    </rPh>
    <rPh sb="16" eb="18">
      <t>ケイサン</t>
    </rPh>
    <phoneticPr fontId="8"/>
  </si>
  <si>
    <t>下図のように、並べる石による計算は、結局原点から（12、2)までの経路の場合の数となる</t>
    <rPh sb="0" eb="2">
      <t>カズ</t>
    </rPh>
    <rPh sb="7" eb="8">
      <t>ナラ</t>
    </rPh>
    <rPh sb="10" eb="11">
      <t>イシ</t>
    </rPh>
    <rPh sb="14" eb="16">
      <t>ケイサン</t>
    </rPh>
    <rPh sb="18" eb="20">
      <t>ケッキョク</t>
    </rPh>
    <rPh sb="20" eb="22">
      <t>ゲンテン</t>
    </rPh>
    <rPh sb="33" eb="35">
      <t>ケイロ</t>
    </rPh>
    <rPh sb="36" eb="38">
      <t>バアイ</t>
    </rPh>
    <rPh sb="39" eb="40">
      <t>カズ</t>
    </rPh>
    <phoneticPr fontId="8"/>
  </si>
  <si>
    <t>白石を並べることが、右上に進み、黒石を並べることが、左下に進み、0にならないような経路だけを取る</t>
    <rPh sb="0" eb="2">
      <t>シロイシ</t>
    </rPh>
    <rPh sb="3" eb="4">
      <t>ナラ</t>
    </rPh>
    <rPh sb="10" eb="11">
      <t>ミギ</t>
    </rPh>
    <rPh sb="11" eb="12">
      <t>ウエ</t>
    </rPh>
    <rPh sb="13" eb="14">
      <t>スス</t>
    </rPh>
    <rPh sb="16" eb="18">
      <t>クロイシ</t>
    </rPh>
    <rPh sb="19" eb="20">
      <t>ナラ</t>
    </rPh>
    <rPh sb="26" eb="27">
      <t>ヒダリ</t>
    </rPh>
    <rPh sb="27" eb="28">
      <t>シタ</t>
    </rPh>
    <rPh sb="29" eb="30">
      <t>スス</t>
    </rPh>
    <rPh sb="41" eb="43">
      <t>ケイロ</t>
    </rPh>
    <rPh sb="46" eb="47">
      <t>ト</t>
    </rPh>
    <phoneticPr fontId="8"/>
  </si>
  <si>
    <t>各ポイントでの数値は、そのポイントまでに何通りの経路があるかを示している</t>
    <rPh sb="0" eb="1">
      <t>カク</t>
    </rPh>
    <rPh sb="7" eb="9">
      <t>スウチ</t>
    </rPh>
    <rPh sb="20" eb="22">
      <t>ナントオ</t>
    </rPh>
    <rPh sb="24" eb="26">
      <t>ケイロ</t>
    </rPh>
    <rPh sb="31" eb="32">
      <t>シメ</t>
    </rPh>
    <phoneticPr fontId="8"/>
  </si>
  <si>
    <t>例えば(3、3)のポイントは、(4、2)と(4、4)が接続しているため、2+1=3となる</t>
    <rPh sb="0" eb="1">
      <t>タト</t>
    </rPh>
    <rPh sb="27" eb="29">
      <t>セツゾク</t>
    </rPh>
    <phoneticPr fontId="8"/>
  </si>
  <si>
    <r>
      <rPr>
        <sz val="11"/>
        <color theme="1"/>
        <rFont val="ＭＳ ゴシック"/>
        <family val="3"/>
        <charset val="128"/>
      </rPr>
      <t>他のポイントも左から順に記載して計算すると、</t>
    </r>
    <r>
      <rPr>
        <sz val="11"/>
        <color theme="1"/>
        <rFont val="Aptos Narrow"/>
        <family val="3"/>
        <charset val="128"/>
        <scheme val="minor"/>
      </rPr>
      <t>(</t>
    </r>
    <r>
      <rPr>
        <sz val="11"/>
        <color theme="1"/>
        <rFont val="Aptos Narrow"/>
        <family val="2"/>
        <scheme val="minor"/>
      </rPr>
      <t>12</t>
    </r>
    <r>
      <rPr>
        <sz val="11"/>
        <color theme="1"/>
        <rFont val="ＭＳ ゴシック"/>
        <family val="3"/>
        <charset val="128"/>
      </rPr>
      <t>、</t>
    </r>
    <r>
      <rPr>
        <sz val="11"/>
        <color theme="1"/>
        <rFont val="Aptos Narrow"/>
        <family val="2"/>
        <scheme val="minor"/>
      </rPr>
      <t>2)</t>
    </r>
    <r>
      <rPr>
        <sz val="11"/>
        <color theme="1"/>
        <rFont val="游ゴシック"/>
        <family val="2"/>
        <charset val="128"/>
      </rPr>
      <t>のポイントで</t>
    </r>
    <r>
      <rPr>
        <sz val="11"/>
        <color theme="1"/>
        <rFont val="Aptos Narrow"/>
        <family val="2"/>
        <scheme val="minor"/>
      </rPr>
      <t>132</t>
    </r>
    <r>
      <rPr>
        <sz val="11"/>
        <color theme="1"/>
        <rFont val="游ゴシック"/>
        <family val="2"/>
        <charset val="128"/>
      </rPr>
      <t>となる</t>
    </r>
    <rPh sb="0" eb="1">
      <t>タ</t>
    </rPh>
    <rPh sb="7" eb="8">
      <t>ヒダリ</t>
    </rPh>
    <rPh sb="10" eb="11">
      <t>ジュン</t>
    </rPh>
    <rPh sb="12" eb="14">
      <t>キサイ</t>
    </rPh>
    <rPh sb="16" eb="18">
      <t>ケイサン</t>
    </rPh>
    <phoneticPr fontId="8"/>
  </si>
  <si>
    <t>1回目</t>
    <rPh sb="1" eb="3">
      <t>カイメ</t>
    </rPh>
    <phoneticPr fontId="8"/>
  </si>
  <si>
    <t>2回目</t>
    <rPh sb="1" eb="3">
      <t>カイメ</t>
    </rPh>
    <phoneticPr fontId="8"/>
  </si>
  <si>
    <t>3回目</t>
    <rPh sb="1" eb="3">
      <t>カイメ</t>
    </rPh>
    <phoneticPr fontId="8"/>
  </si>
  <si>
    <t>4回目</t>
    <rPh sb="1" eb="3">
      <t>カイメ</t>
    </rPh>
    <phoneticPr fontId="8"/>
  </si>
  <si>
    <r>
      <t>5</t>
    </r>
    <r>
      <rPr>
        <sz val="11"/>
        <color theme="1"/>
        <rFont val="游ゴシック"/>
        <family val="3"/>
        <charset val="128"/>
      </rPr>
      <t>回目</t>
    </r>
    <rPh sb="1" eb="3">
      <t>カイメ</t>
    </rPh>
    <phoneticPr fontId="8"/>
  </si>
  <si>
    <t>6回目</t>
    <rPh sb="1" eb="3">
      <t>カイメ</t>
    </rPh>
    <phoneticPr fontId="8"/>
  </si>
  <si>
    <t>6回の施行であるため、全体は2^6=72となるが、</t>
    <rPh sb="1" eb="2">
      <t>カイ</t>
    </rPh>
    <rPh sb="3" eb="5">
      <t>シコウ</t>
    </rPh>
    <rPh sb="11" eb="13">
      <t>ゼンタイ</t>
    </rPh>
    <phoneticPr fontId="8"/>
  </si>
  <si>
    <t>6回目が移動Bでは右端に玉がないことになるため、6回目は移動Aである</t>
    <rPh sb="1" eb="3">
      <t>カイメ</t>
    </rPh>
    <rPh sb="4" eb="6">
      <t>イドウ</t>
    </rPh>
    <rPh sb="9" eb="10">
      <t>ミギ</t>
    </rPh>
    <rPh sb="10" eb="11">
      <t>ハシ</t>
    </rPh>
    <rPh sb="12" eb="13">
      <t>タマ</t>
    </rPh>
    <rPh sb="25" eb="27">
      <t>カイメ</t>
    </rPh>
    <rPh sb="28" eb="30">
      <t>イドウ</t>
    </rPh>
    <phoneticPr fontId="8"/>
  </si>
  <si>
    <t>また1回目は移動AでもBでも真ん中に玉が移動するため、結局2回目から4回目の組合せだけとなる</t>
    <rPh sb="3" eb="5">
      <t>カイメ</t>
    </rPh>
    <rPh sb="6" eb="8">
      <t>イドウ</t>
    </rPh>
    <rPh sb="14" eb="15">
      <t>マ</t>
    </rPh>
    <rPh sb="16" eb="17">
      <t>ナカ</t>
    </rPh>
    <rPh sb="18" eb="19">
      <t>タマ</t>
    </rPh>
    <rPh sb="20" eb="22">
      <t>イドウ</t>
    </rPh>
    <rPh sb="27" eb="29">
      <t>ケッキョク</t>
    </rPh>
    <rPh sb="30" eb="32">
      <t>カイメ</t>
    </rPh>
    <rPh sb="35" eb="37">
      <t>カイメ</t>
    </rPh>
    <rPh sb="38" eb="40">
      <t>クミアワ</t>
    </rPh>
    <phoneticPr fontId="8"/>
  </si>
  <si>
    <t>AorB</t>
    <phoneticPr fontId="8"/>
  </si>
  <si>
    <t>検討する組合せは2^4=16通り</t>
    <rPh sb="0" eb="2">
      <t>ケントウ</t>
    </rPh>
    <rPh sb="4" eb="6">
      <t>クミアワ</t>
    </rPh>
    <rPh sb="14" eb="15">
      <t>トオ</t>
    </rPh>
    <phoneticPr fontId="8"/>
  </si>
  <si>
    <t>×</t>
    <phoneticPr fontId="8"/>
  </si>
  <si>
    <t>※これだけが適さない</t>
    <rPh sb="6" eb="7">
      <t>テキ</t>
    </rPh>
    <phoneticPr fontId="8"/>
  </si>
  <si>
    <t>15×2=30</t>
    <phoneticPr fontId="8"/>
  </si>
  <si>
    <t>30通り</t>
    <rPh sb="2" eb="3">
      <t>トオ</t>
    </rPh>
    <phoneticPr fontId="8"/>
  </si>
  <si>
    <t>円1つの場合は6通り</t>
    <rPh sb="0" eb="1">
      <t>エン</t>
    </rPh>
    <rPh sb="4" eb="6">
      <t>バアイ</t>
    </rPh>
    <rPh sb="8" eb="9">
      <t>トオ</t>
    </rPh>
    <phoneticPr fontId="8"/>
  </si>
  <si>
    <t>c</t>
    <phoneticPr fontId="8"/>
  </si>
  <si>
    <t>1つ目の円と2つ目の円の交点をCとする</t>
    <rPh sb="2" eb="3">
      <t>メ</t>
    </rPh>
    <rPh sb="4" eb="5">
      <t>エン</t>
    </rPh>
    <rPh sb="8" eb="9">
      <t>メ</t>
    </rPh>
    <rPh sb="10" eb="11">
      <t>エン</t>
    </rPh>
    <rPh sb="12" eb="14">
      <t>コウテン</t>
    </rPh>
    <phoneticPr fontId="8"/>
  </si>
  <si>
    <t>円1ずつの方法は、6×6=36通り</t>
    <rPh sb="0" eb="1">
      <t>エン</t>
    </rPh>
    <rPh sb="5" eb="7">
      <t>ホウホウ</t>
    </rPh>
    <rPh sb="15" eb="16">
      <t>トオ</t>
    </rPh>
    <phoneticPr fontId="8"/>
  </si>
  <si>
    <r>
      <rPr>
        <sz val="11"/>
        <color theme="1"/>
        <rFont val="Aptos Narrow"/>
        <family val="3"/>
        <charset val="128"/>
        <scheme val="minor"/>
      </rPr>
      <t>まず、円</t>
    </r>
    <r>
      <rPr>
        <sz val="11"/>
        <color theme="1"/>
        <rFont val="Aptos Narrow"/>
        <family val="2"/>
        <scheme val="minor"/>
      </rPr>
      <t>1</t>
    </r>
    <r>
      <rPr>
        <sz val="11"/>
        <color theme="1"/>
        <rFont val="Aptos Narrow"/>
        <family val="3"/>
        <charset val="128"/>
        <scheme val="minor"/>
      </rPr>
      <t>つから検討し、順次円を増やして検討する</t>
    </r>
    <rPh sb="3" eb="4">
      <t>エン</t>
    </rPh>
    <rPh sb="8" eb="10">
      <t>ケントウ</t>
    </rPh>
    <rPh sb="12" eb="14">
      <t>ジュンジ</t>
    </rPh>
    <rPh sb="14" eb="15">
      <t>エン</t>
    </rPh>
    <rPh sb="16" eb="17">
      <t>フ</t>
    </rPh>
    <rPh sb="20" eb="22">
      <t>ケントウ</t>
    </rPh>
    <phoneticPr fontId="8"/>
  </si>
  <si>
    <r>
      <rPr>
        <sz val="11"/>
        <color theme="1"/>
        <rFont val="Aptos Narrow"/>
        <family val="3"/>
        <charset val="128"/>
        <scheme val="minor"/>
      </rPr>
      <t>①</t>
    </r>
    <phoneticPr fontId="8"/>
  </si>
  <si>
    <r>
      <t>A</t>
    </r>
    <r>
      <rPr>
        <sz val="11"/>
        <color theme="1"/>
        <rFont val="Aptos Narrow"/>
        <family val="3"/>
        <charset val="128"/>
        <scheme val="minor"/>
      </rPr>
      <t>から</t>
    </r>
    <r>
      <rPr>
        <sz val="11"/>
        <color theme="1"/>
        <rFont val="Aptos Narrow"/>
        <family val="2"/>
        <scheme val="minor"/>
      </rPr>
      <t>B</t>
    </r>
    <r>
      <rPr>
        <sz val="11"/>
        <color theme="1"/>
        <rFont val="Aptos Narrow"/>
        <family val="3"/>
        <charset val="128"/>
        <scheme val="minor"/>
      </rPr>
      <t>へは</t>
    </r>
    <r>
      <rPr>
        <sz val="11"/>
        <color theme="1"/>
        <rFont val="Aptos Narrow"/>
        <family val="2"/>
        <scheme val="minor"/>
      </rPr>
      <t>3</t>
    </r>
    <r>
      <rPr>
        <sz val="11"/>
        <color theme="1"/>
        <rFont val="Aptos Narrow"/>
        <family val="3"/>
        <charset val="128"/>
        <scheme val="minor"/>
      </rPr>
      <t>通り、その後</t>
    </r>
    <r>
      <rPr>
        <sz val="11"/>
        <color theme="1"/>
        <rFont val="Aptos Narrow"/>
        <family val="2"/>
        <scheme val="minor"/>
      </rPr>
      <t>B</t>
    </r>
    <r>
      <rPr>
        <sz val="11"/>
        <color theme="1"/>
        <rFont val="Aptos Narrow"/>
        <family val="3"/>
        <charset val="128"/>
        <scheme val="minor"/>
      </rPr>
      <t>から</t>
    </r>
    <r>
      <rPr>
        <sz val="11"/>
        <color theme="1"/>
        <rFont val="Aptos Narrow"/>
        <family val="2"/>
        <scheme val="minor"/>
      </rPr>
      <t>A</t>
    </r>
    <r>
      <rPr>
        <sz val="11"/>
        <color theme="1"/>
        <rFont val="Aptos Narrow"/>
        <family val="3"/>
        <charset val="128"/>
        <scheme val="minor"/>
      </rPr>
      <t>へは</t>
    </r>
    <r>
      <rPr>
        <sz val="11"/>
        <color theme="1"/>
        <rFont val="Aptos Narrow"/>
        <family val="2"/>
        <scheme val="minor"/>
      </rPr>
      <t>2</t>
    </r>
    <r>
      <rPr>
        <sz val="11"/>
        <color theme="1"/>
        <rFont val="Aptos Narrow"/>
        <family val="3"/>
        <charset val="128"/>
        <scheme val="minor"/>
      </rPr>
      <t>通り、最後は残った経路となるため</t>
    </r>
    <r>
      <rPr>
        <sz val="11"/>
        <color theme="1"/>
        <rFont val="Aptos Narrow"/>
        <family val="2"/>
        <scheme val="minor"/>
      </rPr>
      <t>1</t>
    </r>
    <r>
      <rPr>
        <sz val="11"/>
        <color theme="1"/>
        <rFont val="Aptos Narrow"/>
        <family val="3"/>
        <charset val="128"/>
        <scheme val="minor"/>
      </rPr>
      <t>通り</t>
    </r>
    <rPh sb="7" eb="8">
      <t>トオ</t>
    </rPh>
    <rPh sb="12" eb="13">
      <t>アト</t>
    </rPh>
    <rPh sb="20" eb="21">
      <t>トオ</t>
    </rPh>
    <rPh sb="23" eb="25">
      <t>サイゴ</t>
    </rPh>
    <rPh sb="26" eb="27">
      <t>ノコ</t>
    </rPh>
    <rPh sb="29" eb="31">
      <t>ケイロ</t>
    </rPh>
    <rPh sb="37" eb="38">
      <t>トオ</t>
    </rPh>
    <phoneticPr fontId="8"/>
  </si>
  <si>
    <r>
      <rPr>
        <sz val="11"/>
        <color theme="1"/>
        <rFont val="Aptos Narrow"/>
        <family val="3"/>
        <charset val="128"/>
        <scheme val="minor"/>
      </rPr>
      <t>②</t>
    </r>
    <phoneticPr fontId="8"/>
  </si>
  <si>
    <r>
      <t>A</t>
    </r>
    <r>
      <rPr>
        <sz val="11"/>
        <color theme="1"/>
        <rFont val="Aptos Narrow"/>
        <family val="3"/>
        <charset val="128"/>
        <scheme val="minor"/>
      </rPr>
      <t>から</t>
    </r>
    <r>
      <rPr>
        <sz val="11"/>
        <color theme="1"/>
        <rFont val="Aptos Narrow"/>
        <family val="2"/>
        <scheme val="minor"/>
      </rPr>
      <t>C</t>
    </r>
    <r>
      <rPr>
        <sz val="11"/>
        <color theme="1"/>
        <rFont val="Aptos Narrow"/>
        <family val="3"/>
        <charset val="128"/>
        <scheme val="minor"/>
      </rPr>
      <t>を全て通ってから</t>
    </r>
    <r>
      <rPr>
        <sz val="11"/>
        <color theme="1"/>
        <rFont val="Aptos Narrow"/>
        <family val="2"/>
        <scheme val="minor"/>
      </rPr>
      <t>C</t>
    </r>
    <r>
      <rPr>
        <sz val="11"/>
        <color theme="1"/>
        <rFont val="Aptos Narrow"/>
        <family val="3"/>
        <charset val="128"/>
        <scheme val="minor"/>
      </rPr>
      <t>から</t>
    </r>
    <r>
      <rPr>
        <sz val="11"/>
        <color theme="1"/>
        <rFont val="Aptos Narrow"/>
        <family val="2"/>
        <scheme val="minor"/>
      </rPr>
      <t>B</t>
    </r>
    <r>
      <rPr>
        <sz val="11"/>
        <color theme="1"/>
        <rFont val="Aptos Narrow"/>
        <family val="3"/>
        <charset val="128"/>
        <scheme val="minor"/>
      </rPr>
      <t>に行くのと</t>
    </r>
    <rPh sb="5" eb="6">
      <t>スベ</t>
    </rPh>
    <rPh sb="7" eb="8">
      <t>トオ</t>
    </rPh>
    <rPh sb="17" eb="18">
      <t>イ</t>
    </rPh>
    <phoneticPr fontId="8"/>
  </si>
  <si>
    <r>
      <t>A</t>
    </r>
    <r>
      <rPr>
        <sz val="11"/>
        <color theme="1"/>
        <rFont val="Aptos Narrow"/>
        <family val="3"/>
        <charset val="128"/>
        <scheme val="minor"/>
      </rPr>
      <t>から</t>
    </r>
    <r>
      <rPr>
        <sz val="11"/>
        <color theme="1"/>
        <rFont val="Aptos Narrow"/>
        <family val="2"/>
        <scheme val="minor"/>
      </rPr>
      <t>C</t>
    </r>
    <r>
      <rPr>
        <sz val="11"/>
        <color theme="1"/>
        <rFont val="Aptos Narrow"/>
        <family val="3"/>
        <charset val="128"/>
        <scheme val="minor"/>
      </rPr>
      <t>を経由して</t>
    </r>
    <r>
      <rPr>
        <sz val="11"/>
        <color theme="1"/>
        <rFont val="Aptos Narrow"/>
        <family val="2"/>
        <scheme val="minor"/>
      </rPr>
      <t>B</t>
    </r>
    <r>
      <rPr>
        <sz val="11"/>
        <color theme="1"/>
        <rFont val="Aptos Narrow"/>
        <family val="3"/>
        <charset val="128"/>
        <scheme val="minor"/>
      </rPr>
      <t>まで行き、</t>
    </r>
    <r>
      <rPr>
        <sz val="11"/>
        <color theme="1"/>
        <rFont val="Aptos Narrow"/>
        <family val="2"/>
        <scheme val="minor"/>
      </rPr>
      <t>C</t>
    </r>
    <r>
      <rPr>
        <sz val="11"/>
        <color theme="1"/>
        <rFont val="Aptos Narrow"/>
        <family val="3"/>
        <charset val="128"/>
        <scheme val="minor"/>
      </rPr>
      <t>を経由して</t>
    </r>
    <r>
      <rPr>
        <sz val="11"/>
        <color theme="1"/>
        <rFont val="Aptos Narrow"/>
        <family val="2"/>
        <scheme val="minor"/>
      </rPr>
      <t>A</t>
    </r>
    <r>
      <rPr>
        <sz val="11"/>
        <color theme="1"/>
        <rFont val="Aptos Narrow"/>
        <family val="3"/>
        <charset val="128"/>
        <scheme val="minor"/>
      </rPr>
      <t>に戻り、残った経路で</t>
    </r>
    <r>
      <rPr>
        <sz val="11"/>
        <color theme="1"/>
        <rFont val="Aptos Narrow"/>
        <family val="2"/>
        <scheme val="minor"/>
      </rPr>
      <t>B</t>
    </r>
    <r>
      <rPr>
        <sz val="11"/>
        <color theme="1"/>
        <rFont val="Aptos Narrow"/>
        <family val="3"/>
        <charset val="128"/>
        <scheme val="minor"/>
      </rPr>
      <t>に行く</t>
    </r>
    <rPh sb="5" eb="7">
      <t>ケイユ</t>
    </rPh>
    <rPh sb="12" eb="13">
      <t>イ</t>
    </rPh>
    <rPh sb="17" eb="19">
      <t>ケイユ</t>
    </rPh>
    <rPh sb="23" eb="24">
      <t>モド</t>
    </rPh>
    <rPh sb="26" eb="27">
      <t>ノコ</t>
    </rPh>
    <rPh sb="29" eb="31">
      <t>ケイロ</t>
    </rPh>
    <rPh sb="34" eb="35">
      <t>イ</t>
    </rPh>
    <phoneticPr fontId="8"/>
  </si>
  <si>
    <r>
      <rPr>
        <sz val="11"/>
        <color theme="1"/>
        <rFont val="Aptos Narrow"/>
        <family val="3"/>
        <charset val="128"/>
        <scheme val="minor"/>
      </rPr>
      <t>この</t>
    </r>
    <r>
      <rPr>
        <sz val="11"/>
        <color theme="1"/>
        <rFont val="Aptos Narrow"/>
        <family val="2"/>
        <scheme val="minor"/>
      </rPr>
      <t>2</t>
    </r>
    <r>
      <rPr>
        <sz val="11"/>
        <color theme="1"/>
        <rFont val="Aptos Narrow"/>
        <family val="3"/>
        <charset val="128"/>
        <scheme val="minor"/>
      </rPr>
      <t>つの一筆がき方法が考えられる</t>
    </r>
    <rPh sb="5" eb="7">
      <t>ヒトフデ</t>
    </rPh>
    <rPh sb="9" eb="11">
      <t>ホウホウ</t>
    </rPh>
    <rPh sb="12" eb="13">
      <t>カンガ</t>
    </rPh>
    <phoneticPr fontId="8"/>
  </si>
  <si>
    <r>
      <t>2</t>
    </r>
    <r>
      <rPr>
        <sz val="11"/>
        <color theme="1"/>
        <rFont val="Aptos Narrow"/>
        <family val="3"/>
        <charset val="128"/>
        <scheme val="minor"/>
      </rPr>
      <t>円を一度に進む方法は、</t>
    </r>
    <r>
      <rPr>
        <sz val="11"/>
        <color theme="1"/>
        <rFont val="Aptos Narrow"/>
        <family val="2"/>
        <scheme val="minor"/>
      </rPr>
      <t>3×3×2×2~36</t>
    </r>
    <r>
      <rPr>
        <sz val="11"/>
        <color theme="1"/>
        <rFont val="Aptos Narrow"/>
        <family val="3"/>
        <charset val="128"/>
        <scheme val="minor"/>
      </rPr>
      <t>通り</t>
    </r>
    <rPh sb="1" eb="2">
      <t>エン</t>
    </rPh>
    <rPh sb="3" eb="5">
      <t>イチド</t>
    </rPh>
    <rPh sb="6" eb="7">
      <t>スス</t>
    </rPh>
    <rPh sb="8" eb="10">
      <t>ホウホウ</t>
    </rPh>
    <rPh sb="22" eb="23">
      <t>トオ</t>
    </rPh>
    <phoneticPr fontId="8"/>
  </si>
  <si>
    <r>
      <rPr>
        <sz val="11"/>
        <color theme="1"/>
        <rFont val="ＭＳ ゴシック"/>
        <family val="3"/>
        <charset val="128"/>
      </rPr>
      <t>円</t>
    </r>
    <r>
      <rPr>
        <sz val="11"/>
        <color theme="1"/>
        <rFont val="Aptos Narrow"/>
        <family val="3"/>
      </rPr>
      <t>2</t>
    </r>
    <r>
      <rPr>
        <sz val="11"/>
        <color theme="1"/>
        <rFont val="ＭＳ ゴシック"/>
        <family val="3"/>
        <charset val="128"/>
      </rPr>
      <t>つの場合は</t>
    </r>
    <r>
      <rPr>
        <sz val="11"/>
        <color theme="1"/>
        <rFont val="Aptos Narrow"/>
        <family val="3"/>
      </rPr>
      <t>72</t>
    </r>
    <r>
      <rPr>
        <sz val="11"/>
        <color theme="1"/>
        <rFont val="ＭＳ ゴシック"/>
        <family val="3"/>
        <charset val="128"/>
      </rPr>
      <t>通り</t>
    </r>
    <rPh sb="0" eb="1">
      <t>エン</t>
    </rPh>
    <rPh sb="4" eb="6">
      <t>バアイ</t>
    </rPh>
    <rPh sb="9" eb="10">
      <t>トオ</t>
    </rPh>
    <phoneticPr fontId="8"/>
  </si>
  <si>
    <t>③</t>
    <phoneticPr fontId="8"/>
  </si>
  <si>
    <t>D</t>
    <phoneticPr fontId="8"/>
  </si>
  <si>
    <r>
      <t>1</t>
    </r>
    <r>
      <rPr>
        <sz val="11"/>
        <color theme="1"/>
        <rFont val="ＭＳ ゴシック"/>
        <family val="3"/>
        <charset val="128"/>
      </rPr>
      <t>つ目の円と</t>
    </r>
    <r>
      <rPr>
        <sz val="11"/>
        <color theme="1"/>
        <rFont val="Aptos Narrow"/>
        <family val="2"/>
        <scheme val="minor"/>
      </rPr>
      <t>2</t>
    </r>
    <r>
      <rPr>
        <sz val="11"/>
        <color theme="1"/>
        <rFont val="ＭＳ ゴシック"/>
        <family val="3"/>
        <charset val="128"/>
      </rPr>
      <t>つ目の円の交点を</t>
    </r>
    <r>
      <rPr>
        <sz val="11"/>
        <color theme="1"/>
        <rFont val="Aptos Narrow"/>
        <family val="2"/>
        <scheme val="minor"/>
      </rPr>
      <t>C</t>
    </r>
    <r>
      <rPr>
        <sz val="11"/>
        <color theme="1"/>
        <rFont val="ＭＳ ゴシック"/>
        <family val="3"/>
        <charset val="128"/>
      </rPr>
      <t>、2</t>
    </r>
    <r>
      <rPr>
        <sz val="11"/>
        <color theme="1"/>
        <rFont val="游ゴシック"/>
        <family val="3"/>
        <charset val="128"/>
      </rPr>
      <t>つ目の円と3つ目の円の交点をDとする</t>
    </r>
    <rPh sb="2" eb="3">
      <t>メ</t>
    </rPh>
    <rPh sb="4" eb="5">
      <t>エン</t>
    </rPh>
    <rPh sb="8" eb="9">
      <t>メ</t>
    </rPh>
    <rPh sb="10" eb="11">
      <t>エン</t>
    </rPh>
    <rPh sb="12" eb="14">
      <t>コウテン</t>
    </rPh>
    <phoneticPr fontId="8"/>
  </si>
  <si>
    <t>記載を省略すると次の4通りとなる</t>
    <rPh sb="0" eb="2">
      <t>キサイ</t>
    </rPh>
    <rPh sb="3" eb="5">
      <t>ショウリャク</t>
    </rPh>
    <rPh sb="8" eb="9">
      <t>ツギ</t>
    </rPh>
    <rPh sb="11" eb="12">
      <t>トオ</t>
    </rPh>
    <phoneticPr fontId="8"/>
  </si>
  <si>
    <t>A→C→A→C→D→C→D→B→D→B</t>
    <phoneticPr fontId="8"/>
  </si>
  <si>
    <t>A→C→D→C→A→C→D→B→D→B</t>
    <phoneticPr fontId="8"/>
  </si>
  <si>
    <t>A→C→A→C→D→B→D→C→D→B</t>
    <phoneticPr fontId="8"/>
  </si>
  <si>
    <t>A→C→D→B→D→C→A→C→D→B</t>
    <phoneticPr fontId="8"/>
  </si>
  <si>
    <t>1円処理後、2円の処理</t>
    <rPh sb="1" eb="2">
      <t>エン</t>
    </rPh>
    <rPh sb="2" eb="4">
      <t>ショリ</t>
    </rPh>
    <rPh sb="4" eb="5">
      <t>アト</t>
    </rPh>
    <rPh sb="7" eb="8">
      <t>エン</t>
    </rPh>
    <rPh sb="9" eb="11">
      <t>ショリ</t>
    </rPh>
    <phoneticPr fontId="8"/>
  </si>
  <si>
    <t>2円の処理後、1円の処理</t>
    <rPh sb="1" eb="2">
      <t>エン</t>
    </rPh>
    <rPh sb="3" eb="5">
      <t>ショリ</t>
    </rPh>
    <rPh sb="5" eb="6">
      <t>アト</t>
    </rPh>
    <rPh sb="8" eb="9">
      <t>エン</t>
    </rPh>
    <rPh sb="10" eb="12">
      <t>ショリ</t>
    </rPh>
    <phoneticPr fontId="8"/>
  </si>
  <si>
    <t>3円の処理</t>
    <rPh sb="1" eb="2">
      <t>エン</t>
    </rPh>
    <rPh sb="3" eb="5">
      <t>ショリ</t>
    </rPh>
    <phoneticPr fontId="8"/>
  </si>
  <si>
    <r>
      <t>1つの</t>
    </r>
    <r>
      <rPr>
        <sz val="11"/>
        <color theme="1"/>
        <rFont val="ＭＳ ゴシック"/>
        <family val="3"/>
        <charset val="128"/>
      </rPr>
      <t>円ごとに処理</t>
    </r>
    <rPh sb="3" eb="4">
      <t>エン</t>
    </rPh>
    <rPh sb="7" eb="9">
      <t>ショリ</t>
    </rPh>
    <phoneticPr fontId="8"/>
  </si>
  <si>
    <t>経路記載の一覧は下記</t>
    <rPh sb="0" eb="2">
      <t>ケイロ</t>
    </rPh>
    <rPh sb="2" eb="4">
      <t>キサイ</t>
    </rPh>
    <rPh sb="5" eb="7">
      <t>イチラン</t>
    </rPh>
    <rPh sb="8" eb="10">
      <t>カキ</t>
    </rPh>
    <phoneticPr fontId="8"/>
  </si>
  <si>
    <t>一筆書きの概要</t>
    <rPh sb="0" eb="2">
      <t>ヒトフデ</t>
    </rPh>
    <rPh sb="2" eb="3">
      <t>ガ</t>
    </rPh>
    <rPh sb="5" eb="7">
      <t>ガイヨウ</t>
    </rPh>
    <phoneticPr fontId="8"/>
  </si>
  <si>
    <t>→</t>
    <phoneticPr fontId="8"/>
  </si>
  <si>
    <t>216通り</t>
    <rPh sb="3" eb="4">
      <t>トオ</t>
    </rPh>
    <phoneticPr fontId="8"/>
  </si>
  <si>
    <t>864通り</t>
    <rPh sb="3" eb="4">
      <t>トオ</t>
    </rPh>
    <phoneticPr fontId="8"/>
  </si>
  <si>
    <t>④</t>
    <phoneticPr fontId="8"/>
  </si>
  <si>
    <t>円1つ</t>
    <rPh sb="0" eb="1">
      <t>エン</t>
    </rPh>
    <phoneticPr fontId="8"/>
  </si>
  <si>
    <t>円2つ</t>
    <rPh sb="0" eb="1">
      <t>エン</t>
    </rPh>
    <phoneticPr fontId="8"/>
  </si>
  <si>
    <t>円3つ</t>
    <rPh sb="0" eb="1">
      <t>エン</t>
    </rPh>
    <phoneticPr fontId="8"/>
  </si>
  <si>
    <t>③での「一筆書きの概要」を省略して記載</t>
    <rPh sb="13" eb="15">
      <t>ショウリャク</t>
    </rPh>
    <rPh sb="17" eb="19">
      <t>キサイ</t>
    </rPh>
    <phoneticPr fontId="8"/>
  </si>
  <si>
    <t>上記のように8経路となる</t>
    <rPh sb="0" eb="2">
      <t>ジョウキ</t>
    </rPh>
    <rPh sb="7" eb="9">
      <t>ケイロ</t>
    </rPh>
    <phoneticPr fontId="8"/>
  </si>
  <si>
    <t>1つの経路で1298通りとなるため全体は10368通り</t>
    <rPh sb="3" eb="5">
      <t>ケイロ</t>
    </rPh>
    <rPh sb="10" eb="11">
      <t>トオ</t>
    </rPh>
    <rPh sb="17" eb="19">
      <t>ゼンタイ</t>
    </rPh>
    <rPh sb="25" eb="26">
      <t>トオ</t>
    </rPh>
    <phoneticPr fontId="8"/>
  </si>
  <si>
    <t>まずAとBを除いた中間の経路点では、</t>
    <rPh sb="6" eb="7">
      <t>ノゾ</t>
    </rPh>
    <rPh sb="9" eb="11">
      <t>チュウカン</t>
    </rPh>
    <rPh sb="12" eb="14">
      <t>ケイロ</t>
    </rPh>
    <rPh sb="14" eb="15">
      <t>テン</t>
    </rPh>
    <phoneticPr fontId="8"/>
  </si>
  <si>
    <t>最初にその経路点に到達したのち、右に進むか左に進むかの2通りがある</t>
    <rPh sb="0" eb="2">
      <t>サイショ</t>
    </rPh>
    <rPh sb="5" eb="7">
      <t>ケイロ</t>
    </rPh>
    <rPh sb="7" eb="8">
      <t>テン</t>
    </rPh>
    <rPh sb="9" eb="11">
      <t>トウタツ</t>
    </rPh>
    <rPh sb="16" eb="17">
      <t>ミギ</t>
    </rPh>
    <rPh sb="18" eb="19">
      <t>スス</t>
    </rPh>
    <rPh sb="21" eb="22">
      <t>ヒダリ</t>
    </rPh>
    <rPh sb="23" eb="24">
      <t>スス</t>
    </rPh>
    <rPh sb="28" eb="29">
      <t>トオ</t>
    </rPh>
    <phoneticPr fontId="8"/>
  </si>
  <si>
    <t>1円の場合は経路点がないため0</t>
    <rPh sb="0" eb="2">
      <t>イチエン</t>
    </rPh>
    <rPh sb="3" eb="5">
      <t>バアイ</t>
    </rPh>
    <rPh sb="6" eb="8">
      <t>ケイロ</t>
    </rPh>
    <rPh sb="8" eb="9">
      <t>テン</t>
    </rPh>
    <phoneticPr fontId="8"/>
  </si>
  <si>
    <t>2円の場合は経路点が1つ</t>
    <rPh sb="1" eb="2">
      <t>エン</t>
    </rPh>
    <rPh sb="3" eb="5">
      <t>バアイ</t>
    </rPh>
    <rPh sb="6" eb="8">
      <t>ケイロ</t>
    </rPh>
    <rPh sb="8" eb="9">
      <t>テン</t>
    </rPh>
    <phoneticPr fontId="8"/>
  </si>
  <si>
    <t>3円の場合は経路点が2つ</t>
    <rPh sb="1" eb="2">
      <t>エン</t>
    </rPh>
    <rPh sb="3" eb="5">
      <t>バアイ</t>
    </rPh>
    <rPh sb="6" eb="8">
      <t>ケイロ</t>
    </rPh>
    <rPh sb="8" eb="9">
      <t>テン</t>
    </rPh>
    <phoneticPr fontId="8"/>
  </si>
  <si>
    <t>4円の場合は経路点が3つ</t>
    <rPh sb="1" eb="2">
      <t>エン</t>
    </rPh>
    <rPh sb="3" eb="5">
      <t>バアイ</t>
    </rPh>
    <rPh sb="6" eb="8">
      <t>ケイロ</t>
    </rPh>
    <rPh sb="8" eb="9">
      <t>テン</t>
    </rPh>
    <phoneticPr fontId="8"/>
  </si>
  <si>
    <r>
      <t>このことから経路点は円の数-1となり、n円の処理パターン数は2</t>
    </r>
    <r>
      <rPr>
        <vertAlign val="superscript"/>
        <sz val="11"/>
        <color theme="1"/>
        <rFont val="ＭＳ Ｐゴシック"/>
        <family val="3"/>
        <charset val="128"/>
      </rPr>
      <t>n-1</t>
    </r>
    <rPh sb="6" eb="8">
      <t>ケイロ</t>
    </rPh>
    <rPh sb="8" eb="9">
      <t>テン</t>
    </rPh>
    <rPh sb="10" eb="11">
      <t>エン</t>
    </rPh>
    <rPh sb="12" eb="13">
      <t>カズ</t>
    </rPh>
    <rPh sb="20" eb="21">
      <t>エン</t>
    </rPh>
    <rPh sb="22" eb="24">
      <t>ショリ</t>
    </rPh>
    <rPh sb="28" eb="29">
      <t>スウ</t>
    </rPh>
    <phoneticPr fontId="8"/>
  </si>
  <si>
    <t>円の数1～4で検算すると、1、72、864、10368となることが分かる</t>
    <rPh sb="0" eb="1">
      <t>エン</t>
    </rPh>
    <rPh sb="2" eb="3">
      <t>カズ</t>
    </rPh>
    <rPh sb="7" eb="9">
      <t>ケンザン</t>
    </rPh>
    <rPh sb="33" eb="34">
      <t>ワ</t>
    </rPh>
    <phoneticPr fontId="8"/>
  </si>
  <si>
    <t>各点から最初に右に進むときは3通り、左に進むときは2通り</t>
    <rPh sb="0" eb="1">
      <t>カク</t>
    </rPh>
    <rPh sb="1" eb="2">
      <t>テン</t>
    </rPh>
    <rPh sb="4" eb="6">
      <t>サイショ</t>
    </rPh>
    <rPh sb="7" eb="8">
      <t>ミギ</t>
    </rPh>
    <rPh sb="9" eb="10">
      <t>スス</t>
    </rPh>
    <rPh sb="15" eb="16">
      <t>トオ</t>
    </rPh>
    <rPh sb="18" eb="19">
      <t>ヒダリ</t>
    </rPh>
    <rPh sb="20" eb="21">
      <t>スス</t>
    </rPh>
    <rPh sb="26" eb="27">
      <t>トオ</t>
    </rPh>
    <phoneticPr fontId="8"/>
  </si>
  <si>
    <r>
      <t>1</t>
    </r>
    <r>
      <rPr>
        <sz val="11"/>
        <color theme="1"/>
        <rFont val="游ゴシック"/>
        <family val="2"/>
        <charset val="128"/>
      </rPr>
      <t>つの</t>
    </r>
    <r>
      <rPr>
        <sz val="11"/>
        <color theme="1"/>
        <rFont val="ＭＳ ゴシック"/>
        <family val="3"/>
        <charset val="128"/>
      </rPr>
      <t>円ごとに</t>
    </r>
    <r>
      <rPr>
        <sz val="11"/>
        <color theme="1"/>
        <rFont val="Aptos Narrow"/>
        <family val="2"/>
        <scheme val="minor"/>
      </rPr>
      <t>6</t>
    </r>
    <r>
      <rPr>
        <sz val="11"/>
        <color theme="1"/>
        <rFont val="ＭＳ ゴシック"/>
        <family val="3"/>
        <charset val="128"/>
      </rPr>
      <t>通りとなることが分かるため、</t>
    </r>
    <r>
      <rPr>
        <sz val="11"/>
        <color theme="1"/>
        <rFont val="Aptos Narrow"/>
        <family val="2"/>
        <scheme val="minor"/>
      </rPr>
      <t>n</t>
    </r>
    <r>
      <rPr>
        <sz val="11"/>
        <color theme="1"/>
        <rFont val="游ゴシック"/>
        <family val="2"/>
        <charset val="128"/>
      </rPr>
      <t>円では</t>
    </r>
    <r>
      <rPr>
        <sz val="11"/>
        <color theme="1"/>
        <rFont val="Aptos Narrow"/>
        <family val="2"/>
      </rPr>
      <t>6</t>
    </r>
    <r>
      <rPr>
        <vertAlign val="superscript"/>
        <sz val="11"/>
        <color theme="1"/>
        <rFont val="Aptos Narrow"/>
        <family val="2"/>
      </rPr>
      <t>n</t>
    </r>
    <rPh sb="3" eb="4">
      <t>エン</t>
    </rPh>
    <rPh sb="8" eb="9">
      <t>トオ</t>
    </rPh>
    <rPh sb="16" eb="17">
      <t>ワ</t>
    </rPh>
    <rPh sb="23" eb="24">
      <t>エン</t>
    </rPh>
    <phoneticPr fontId="8"/>
  </si>
  <si>
    <r>
      <t>よって、n円での一筆がきの全パターンは2</t>
    </r>
    <r>
      <rPr>
        <vertAlign val="superscript"/>
        <sz val="11"/>
        <color theme="1"/>
        <rFont val="ＭＳ Ｐゴシック"/>
        <family val="3"/>
        <charset val="128"/>
      </rPr>
      <t>n-1</t>
    </r>
    <r>
      <rPr>
        <sz val="11"/>
        <color theme="1"/>
        <rFont val="ＭＳ Ｐゴシック"/>
        <family val="3"/>
        <charset val="128"/>
      </rPr>
      <t>*6</t>
    </r>
    <r>
      <rPr>
        <vertAlign val="superscript"/>
        <sz val="11"/>
        <color theme="1"/>
        <rFont val="ＭＳ Ｐゴシック"/>
        <family val="3"/>
        <charset val="128"/>
      </rPr>
      <t>n</t>
    </r>
    <r>
      <rPr>
        <sz val="11"/>
        <color theme="1"/>
        <rFont val="ＭＳ Ｐゴシック"/>
        <family val="3"/>
        <charset val="128"/>
      </rPr>
      <t>となる</t>
    </r>
    <rPh sb="5" eb="6">
      <t>エン</t>
    </rPh>
    <rPh sb="8" eb="10">
      <t>ヒトフデ</t>
    </rPh>
    <rPh sb="13" eb="14">
      <t>ゼン</t>
    </rPh>
    <phoneticPr fontId="8"/>
  </si>
  <si>
    <r>
      <rPr>
        <sz val="11"/>
        <color theme="1"/>
        <rFont val="MS UI Gothic"/>
        <family val="3"/>
        <charset val="128"/>
      </rPr>
      <t>※</t>
    </r>
    <r>
      <rPr>
        <sz val="11"/>
        <color theme="1"/>
        <rFont val="ＭＳ Ｐゴシック"/>
        <family val="3"/>
        <charset val="128"/>
      </rPr>
      <t>「</t>
    </r>
    <r>
      <rPr>
        <sz val="11"/>
        <color theme="1"/>
        <rFont val="Aptos Narrow"/>
        <family val="3"/>
      </rPr>
      <t>AI</t>
    </r>
    <r>
      <rPr>
        <sz val="11"/>
        <color theme="1"/>
        <rFont val="游ゴシック"/>
        <family val="3"/>
        <charset val="128"/>
      </rPr>
      <t>使用での注意点」</t>
    </r>
    <r>
      <rPr>
        <sz val="11"/>
        <color theme="1"/>
        <rFont val="ＭＳ Ｐゴシック"/>
        <family val="3"/>
        <charset val="128"/>
      </rPr>
      <t>シート参照</t>
    </r>
    <rPh sb="4" eb="6">
      <t>シヨウ</t>
    </rPh>
    <rPh sb="8" eb="11">
      <t>チュウイテン</t>
    </rPh>
    <rPh sb="15" eb="17">
      <t>サンショウ</t>
    </rPh>
    <phoneticPr fontId="8"/>
  </si>
  <si>
    <t>【概要】</t>
    <rPh sb="1" eb="3">
      <t>ガイヨウ</t>
    </rPh>
    <phoneticPr fontId="8"/>
  </si>
  <si>
    <t>AIを使用して、このような組み合わせ、場合の数を求める時に間違えることがある</t>
  </si>
  <si>
    <t>これは、今後のAIを使用してのプログラム開発でも、重要な気を付ける内容であるため、ここで少し内容をまとめる</t>
    <rPh sb="4" eb="6">
      <t>コンゴ</t>
    </rPh>
    <rPh sb="10" eb="12">
      <t>シヨウ</t>
    </rPh>
    <rPh sb="20" eb="22">
      <t>カイハツ</t>
    </rPh>
    <rPh sb="25" eb="27">
      <t>ジュウヨウ</t>
    </rPh>
    <rPh sb="28" eb="29">
      <t>キ</t>
    </rPh>
    <rPh sb="30" eb="31">
      <t>ツ</t>
    </rPh>
    <rPh sb="33" eb="35">
      <t>ナイヨウ</t>
    </rPh>
    <rPh sb="44" eb="45">
      <t>スコ</t>
    </rPh>
    <rPh sb="46" eb="48">
      <t>ナイヨウ</t>
    </rPh>
    <phoneticPr fontId="8"/>
  </si>
  <si>
    <t>※具体的な間違えた内容については、「107}のシートを参照</t>
    <rPh sb="1" eb="3">
      <t>グタイ</t>
    </rPh>
    <rPh sb="3" eb="4">
      <t>テキ</t>
    </rPh>
    <rPh sb="5" eb="7">
      <t>マチガ</t>
    </rPh>
    <rPh sb="9" eb="11">
      <t>ナイヨウ</t>
    </rPh>
    <rPh sb="27" eb="29">
      <t>サンショウ</t>
    </rPh>
    <phoneticPr fontId="8"/>
  </si>
  <si>
    <t>【AIの処理方法】</t>
    <rPh sb="4" eb="6">
      <t>ショリ</t>
    </rPh>
    <rPh sb="6" eb="8">
      <t>ホウホウ</t>
    </rPh>
    <phoneticPr fontId="8"/>
  </si>
  <si>
    <t>この仕組みについての詳細内容については、私も全て理解しているわけでは無いが、</t>
    <rPh sb="2" eb="4">
      <t>シク</t>
    </rPh>
    <rPh sb="10" eb="12">
      <t>ショウサイ</t>
    </rPh>
    <rPh sb="12" eb="14">
      <t>ナイヨウ</t>
    </rPh>
    <rPh sb="20" eb="21">
      <t>ワタシ</t>
    </rPh>
    <rPh sb="22" eb="23">
      <t>スベ</t>
    </rPh>
    <rPh sb="24" eb="26">
      <t>リカイ</t>
    </rPh>
    <rPh sb="34" eb="35">
      <t>ナ</t>
    </rPh>
    <phoneticPr fontId="8"/>
  </si>
  <si>
    <t>大量のデータから、言語の関連等の傾向を分析し、「もっともらしさの高い」言葉を選ぶことがキーワードとなる</t>
    <rPh sb="0" eb="2">
      <t>タイリョウ</t>
    </rPh>
    <rPh sb="9" eb="11">
      <t>ゲンゴ</t>
    </rPh>
    <rPh sb="12" eb="14">
      <t>カンレン</t>
    </rPh>
    <rPh sb="14" eb="15">
      <t>トウ</t>
    </rPh>
    <rPh sb="16" eb="18">
      <t>ケイコウ</t>
    </rPh>
    <rPh sb="19" eb="21">
      <t>ブンセキ</t>
    </rPh>
    <rPh sb="32" eb="33">
      <t>タカ</t>
    </rPh>
    <rPh sb="35" eb="37">
      <t>コトバ</t>
    </rPh>
    <rPh sb="38" eb="39">
      <t>エラ</t>
    </rPh>
    <phoneticPr fontId="8"/>
  </si>
  <si>
    <t>※一般言語での会話を考えると分かるが、計算式と違い、曖昧な表現での応答でしかないため、</t>
    <rPh sb="1" eb="3">
      <t>イッパン</t>
    </rPh>
    <rPh sb="3" eb="5">
      <t>ゲンゴ</t>
    </rPh>
    <rPh sb="7" eb="9">
      <t>カイワ</t>
    </rPh>
    <rPh sb="10" eb="11">
      <t>カンガ</t>
    </rPh>
    <rPh sb="14" eb="15">
      <t>ワ</t>
    </rPh>
    <rPh sb="19" eb="21">
      <t>ケイサン</t>
    </rPh>
    <rPh sb="21" eb="22">
      <t>シキ</t>
    </rPh>
    <rPh sb="23" eb="24">
      <t>チガ</t>
    </rPh>
    <rPh sb="26" eb="28">
      <t>アイマイ</t>
    </rPh>
    <rPh sb="29" eb="31">
      <t>ヒョウゲン</t>
    </rPh>
    <rPh sb="33" eb="35">
      <t>オウトウ</t>
    </rPh>
    <phoneticPr fontId="8"/>
  </si>
  <si>
    <t>【近似値の求め方】</t>
    <rPh sb="1" eb="4">
      <t>キンジチ</t>
    </rPh>
    <rPh sb="5" eb="6">
      <t>モト</t>
    </rPh>
    <rPh sb="7" eb="8">
      <t>カタ</t>
    </rPh>
    <phoneticPr fontId="8"/>
  </si>
  <si>
    <t>近似値を求める方法として、様々な計算手法(ニュートン・ラフソン法等)がある。</t>
    <rPh sb="0" eb="2">
      <t>キンジ</t>
    </rPh>
    <rPh sb="2" eb="3">
      <t>アタイ</t>
    </rPh>
    <rPh sb="4" eb="5">
      <t>モト</t>
    </rPh>
    <rPh sb="7" eb="9">
      <t>ホウホウ</t>
    </rPh>
    <rPh sb="13" eb="15">
      <t>サマザマ</t>
    </rPh>
    <rPh sb="16" eb="18">
      <t>ケイサン</t>
    </rPh>
    <rPh sb="18" eb="20">
      <t>シュホウ</t>
    </rPh>
    <rPh sb="31" eb="32">
      <t>ホウ</t>
    </rPh>
    <rPh sb="32" eb="33">
      <t>トウ</t>
    </rPh>
    <phoneticPr fontId="8"/>
  </si>
  <si>
    <r>
      <rPr>
        <sz val="11"/>
        <color theme="1"/>
        <rFont val="ＭＳ ゴシック"/>
        <family val="3"/>
        <charset val="128"/>
      </rPr>
      <t>数値解析の分野において、様々な物理現象等を予測、解析することがある</t>
    </r>
    <r>
      <rPr>
        <sz val="11"/>
        <color theme="1"/>
        <rFont val="Aptos Narrow"/>
        <family val="3"/>
      </rPr>
      <t>(</t>
    </r>
    <r>
      <rPr>
        <sz val="11"/>
        <color theme="1"/>
        <rFont val="游ゴシック"/>
        <family val="3"/>
        <charset val="128"/>
      </rPr>
      <t>台風の進路予測等</t>
    </r>
    <r>
      <rPr>
        <sz val="11"/>
        <color theme="1"/>
        <rFont val="Aptos Narrow"/>
        <family val="3"/>
      </rPr>
      <t>)</t>
    </r>
    <rPh sb="0" eb="2">
      <t>スウチ</t>
    </rPh>
    <rPh sb="2" eb="4">
      <t>カイセキ</t>
    </rPh>
    <rPh sb="5" eb="7">
      <t>ブンヤ</t>
    </rPh>
    <rPh sb="12" eb="14">
      <t>サマザマ</t>
    </rPh>
    <rPh sb="15" eb="17">
      <t>ブツリ</t>
    </rPh>
    <rPh sb="17" eb="19">
      <t>ゲンショウ</t>
    </rPh>
    <rPh sb="19" eb="20">
      <t>トウ</t>
    </rPh>
    <rPh sb="21" eb="23">
      <t>ヨソク</t>
    </rPh>
    <rPh sb="24" eb="26">
      <t>カイセキ</t>
    </rPh>
    <rPh sb="34" eb="36">
      <t>タイフウ</t>
    </rPh>
    <rPh sb="37" eb="39">
      <t>シンロ</t>
    </rPh>
    <rPh sb="39" eb="41">
      <t>ヨソク</t>
    </rPh>
    <rPh sb="41" eb="42">
      <t>トウ</t>
    </rPh>
    <phoneticPr fontId="8"/>
  </si>
  <si>
    <t>様々なパラメータ、初期値を与えて、「真値からもっとも誤差の少ない値を求める」ことを行う</t>
    <rPh sb="0" eb="2">
      <t>サマザマ</t>
    </rPh>
    <rPh sb="9" eb="12">
      <t>ショキチ</t>
    </rPh>
    <rPh sb="13" eb="14">
      <t>アタ</t>
    </rPh>
    <rPh sb="18" eb="19">
      <t>シン</t>
    </rPh>
    <rPh sb="19" eb="20">
      <t>アタイ</t>
    </rPh>
    <rPh sb="26" eb="28">
      <t>ゴサ</t>
    </rPh>
    <rPh sb="29" eb="30">
      <t>スク</t>
    </rPh>
    <rPh sb="32" eb="33">
      <t>アタイ</t>
    </rPh>
    <rPh sb="34" eb="35">
      <t>モト</t>
    </rPh>
    <rPh sb="41" eb="42">
      <t>オコナ</t>
    </rPh>
    <phoneticPr fontId="8"/>
  </si>
  <si>
    <t>※これが先ほどの「もっともらしさの高い言葉」と選ぶのと意味的に同じ内容である</t>
    <rPh sb="4" eb="5">
      <t>サキ</t>
    </rPh>
    <rPh sb="23" eb="24">
      <t>エラ</t>
    </rPh>
    <rPh sb="27" eb="29">
      <t>イミ</t>
    </rPh>
    <rPh sb="29" eb="30">
      <t>テキ</t>
    </rPh>
    <rPh sb="31" eb="32">
      <t>オナ</t>
    </rPh>
    <rPh sb="33" eb="35">
      <t>ナイヨウ</t>
    </rPh>
    <phoneticPr fontId="8"/>
  </si>
  <si>
    <t>この先にも続くが、まだわからないとする</t>
    <rPh sb="2" eb="3">
      <t>サキ</t>
    </rPh>
    <rPh sb="5" eb="6">
      <t>ツヅ</t>
    </rPh>
    <phoneticPr fontId="8"/>
  </si>
  <si>
    <t>上図の左端から順次右に探査していくとき、極小となる値が見つかる</t>
    <rPh sb="0" eb="2">
      <t>ジョウズ</t>
    </rPh>
    <rPh sb="3" eb="5">
      <t>ヒダリハシ</t>
    </rPh>
    <rPh sb="7" eb="9">
      <t>ジュンジ</t>
    </rPh>
    <rPh sb="9" eb="10">
      <t>ミギ</t>
    </rPh>
    <rPh sb="11" eb="13">
      <t>タンサ</t>
    </rPh>
    <rPh sb="20" eb="22">
      <t>キョクショウ</t>
    </rPh>
    <rPh sb="25" eb="26">
      <t>アタイ</t>
    </rPh>
    <rPh sb="27" eb="28">
      <t>ミ</t>
    </rPh>
    <phoneticPr fontId="8"/>
  </si>
  <si>
    <t>AIの言語モデルの内容にもよるが、探査時間との兼ね合いもあると思うが、真値候補が見つかり、</t>
    <rPh sb="3" eb="5">
      <t>ゲンゴ</t>
    </rPh>
    <rPh sb="9" eb="11">
      <t>ナイヨウ</t>
    </rPh>
    <rPh sb="17" eb="19">
      <t>タンサ</t>
    </rPh>
    <rPh sb="19" eb="21">
      <t>ジカン</t>
    </rPh>
    <rPh sb="23" eb="24">
      <t>カ</t>
    </rPh>
    <rPh sb="25" eb="26">
      <t>ア</t>
    </rPh>
    <rPh sb="31" eb="32">
      <t>オモ</t>
    </rPh>
    <rPh sb="35" eb="37">
      <t>シンチ</t>
    </rPh>
    <rPh sb="37" eb="39">
      <t>コウホ</t>
    </rPh>
    <rPh sb="40" eb="41">
      <t>ミ</t>
    </rPh>
    <phoneticPr fontId="8"/>
  </si>
  <si>
    <t>全探査を行った場合、先ほどの極小値より、更に小さい値が見つかる場合もある</t>
    <rPh sb="0" eb="1">
      <t>ゼン</t>
    </rPh>
    <rPh sb="1" eb="3">
      <t>タンサ</t>
    </rPh>
    <rPh sb="4" eb="5">
      <t>オコナ</t>
    </rPh>
    <rPh sb="7" eb="9">
      <t>バアイ</t>
    </rPh>
    <rPh sb="10" eb="11">
      <t>サキ</t>
    </rPh>
    <rPh sb="14" eb="17">
      <t>キョクショウチ</t>
    </rPh>
    <rPh sb="20" eb="21">
      <t>サラ</t>
    </rPh>
    <rPh sb="22" eb="23">
      <t>チイ</t>
    </rPh>
    <rPh sb="25" eb="26">
      <t>アタイ</t>
    </rPh>
    <rPh sb="27" eb="28">
      <t>ミ</t>
    </rPh>
    <rPh sb="31" eb="33">
      <t>バアイ</t>
    </rPh>
    <phoneticPr fontId="8"/>
  </si>
  <si>
    <t>AIとの対話ではLLM（大規模言語モデル）の仕組みを使用している。</t>
    <rPh sb="4" eb="6">
      <t>タイワ</t>
    </rPh>
    <rPh sb="12" eb="15">
      <t>ダイキボ</t>
    </rPh>
    <rPh sb="15" eb="17">
      <t>ゲンゴ</t>
    </rPh>
    <rPh sb="22" eb="24">
      <t>シク</t>
    </rPh>
    <rPh sb="26" eb="28">
      <t>シヨウ</t>
    </rPh>
    <phoneticPr fontId="8"/>
  </si>
  <si>
    <r>
      <rPr>
        <sz val="11"/>
        <color theme="1"/>
        <rFont val="ＭＳ ゴシック"/>
        <family val="3"/>
        <charset val="128"/>
      </rPr>
      <t>真値に近い値</t>
    </r>
    <r>
      <rPr>
        <sz val="11"/>
        <color theme="1"/>
        <rFont val="Aptos Narrow"/>
        <family val="3"/>
      </rPr>
      <t>(</t>
    </r>
    <r>
      <rPr>
        <sz val="11"/>
        <color theme="1"/>
        <rFont val="游ゴシック"/>
        <family val="3"/>
        <charset val="128"/>
      </rPr>
      <t>近似値</t>
    </r>
    <r>
      <rPr>
        <sz val="11"/>
        <color theme="1"/>
        <rFont val="Aptos Narrow"/>
        <family val="3"/>
      </rPr>
      <t>)</t>
    </r>
    <r>
      <rPr>
        <sz val="11"/>
        <color theme="1"/>
        <rFont val="ＭＳ ゴシック"/>
        <family val="3"/>
        <charset val="128"/>
      </rPr>
      <t>を、</t>
    </r>
    <r>
      <rPr>
        <sz val="11"/>
        <color theme="1"/>
        <rFont val="游ゴシック"/>
        <family val="3"/>
        <charset val="128"/>
      </rPr>
      <t>繰り返し</t>
    </r>
    <r>
      <rPr>
        <sz val="11"/>
        <color theme="1"/>
        <rFont val="ＭＳ ゴシック"/>
        <family val="3"/>
        <charset val="128"/>
      </rPr>
      <t>計算により</t>
    </r>
    <r>
      <rPr>
        <sz val="11"/>
        <color theme="1"/>
        <rFont val="游ゴシック"/>
        <family val="3"/>
        <charset val="128"/>
      </rPr>
      <t>求めるということになる。</t>
    </r>
    <rPh sb="0" eb="1">
      <t>シン</t>
    </rPh>
    <rPh sb="1" eb="2">
      <t>アタイ</t>
    </rPh>
    <rPh sb="3" eb="4">
      <t>チカ</t>
    </rPh>
    <rPh sb="5" eb="6">
      <t>アタイ</t>
    </rPh>
    <rPh sb="7" eb="10">
      <t>キンジチ</t>
    </rPh>
    <rPh sb="13" eb="14">
      <t>ク</t>
    </rPh>
    <rPh sb="15" eb="16">
      <t>カエ</t>
    </rPh>
    <rPh sb="17" eb="19">
      <t>ケイサン</t>
    </rPh>
    <rPh sb="22" eb="23">
      <t>モト</t>
    </rPh>
    <phoneticPr fontId="8"/>
  </si>
  <si>
    <t>さまざまな受け答えがあり、真値が明確に決まる分けではないことが容易に類推出来ると思う。</t>
    <rPh sb="5" eb="6">
      <t>ウ</t>
    </rPh>
    <rPh sb="7" eb="8">
      <t>コタ</t>
    </rPh>
    <rPh sb="13" eb="14">
      <t>シン</t>
    </rPh>
    <rPh sb="14" eb="15">
      <t>アタイ</t>
    </rPh>
    <rPh sb="16" eb="18">
      <t>メイカク</t>
    </rPh>
    <rPh sb="19" eb="20">
      <t>キ</t>
    </rPh>
    <rPh sb="22" eb="23">
      <t>ワ</t>
    </rPh>
    <rPh sb="31" eb="33">
      <t>ヨウイ</t>
    </rPh>
    <rPh sb="34" eb="36">
      <t>ルイスイ</t>
    </rPh>
    <rPh sb="36" eb="38">
      <t>デキ</t>
    </rPh>
    <rPh sb="40" eb="41">
      <t>オモ</t>
    </rPh>
    <phoneticPr fontId="8"/>
  </si>
  <si>
    <t>数値解析の経験もあるので、このような手法での問題点を概念的に説明する。</t>
    <rPh sb="5" eb="7">
      <t>ケイケン</t>
    </rPh>
    <rPh sb="18" eb="20">
      <t>シュホウ</t>
    </rPh>
    <rPh sb="22" eb="24">
      <t>モンダイ</t>
    </rPh>
    <rPh sb="24" eb="25">
      <t>テン</t>
    </rPh>
    <rPh sb="26" eb="28">
      <t>ガイネン</t>
    </rPh>
    <rPh sb="28" eb="29">
      <t>テキ</t>
    </rPh>
    <rPh sb="30" eb="32">
      <t>セツメイ</t>
    </rPh>
    <phoneticPr fontId="8"/>
  </si>
  <si>
    <t>簡易的な説明であるが、下図のような曲線での最小値を求めることを検討しよう</t>
    <rPh sb="0" eb="2">
      <t>カンイ</t>
    </rPh>
    <rPh sb="2" eb="3">
      <t>テキ</t>
    </rPh>
    <rPh sb="4" eb="6">
      <t>セツメイ</t>
    </rPh>
    <rPh sb="11" eb="13">
      <t>カズ</t>
    </rPh>
    <rPh sb="17" eb="19">
      <t>キョクセン</t>
    </rPh>
    <rPh sb="21" eb="23">
      <t>サイショウ</t>
    </rPh>
    <rPh sb="23" eb="24">
      <t>チ</t>
    </rPh>
    <rPh sb="25" eb="26">
      <t>モト</t>
    </rPh>
    <rPh sb="31" eb="33">
      <t>ケントウ</t>
    </rPh>
    <phoneticPr fontId="8"/>
  </si>
  <si>
    <t>その後探索により値が増加し続けると判断すると、全探査を切り上げ、見つかった候補値を最小値として出力することがある</t>
    <rPh sb="2" eb="3">
      <t>アト</t>
    </rPh>
    <rPh sb="3" eb="5">
      <t>タンサク</t>
    </rPh>
    <rPh sb="8" eb="9">
      <t>アタイ</t>
    </rPh>
    <rPh sb="10" eb="12">
      <t>ゾウカ</t>
    </rPh>
    <rPh sb="13" eb="14">
      <t>ツヅ</t>
    </rPh>
    <rPh sb="17" eb="19">
      <t>ハンダン</t>
    </rPh>
    <rPh sb="23" eb="24">
      <t>ゼン</t>
    </rPh>
    <rPh sb="24" eb="26">
      <t>タンサ</t>
    </rPh>
    <rPh sb="27" eb="28">
      <t>キ</t>
    </rPh>
    <rPh sb="29" eb="30">
      <t>ア</t>
    </rPh>
    <rPh sb="32" eb="33">
      <t>ミ</t>
    </rPh>
    <rPh sb="37" eb="39">
      <t>コウホ</t>
    </rPh>
    <rPh sb="39" eb="40">
      <t>アタイ</t>
    </rPh>
    <rPh sb="41" eb="43">
      <t>サイショウ</t>
    </rPh>
    <rPh sb="43" eb="44">
      <t>アタイ</t>
    </rPh>
    <rPh sb="47" eb="49">
      <t>シュツリョク</t>
    </rPh>
    <phoneticPr fontId="8"/>
  </si>
  <si>
    <t>【AIへの出しい指示】</t>
    <rPh sb="5" eb="6">
      <t>ダ</t>
    </rPh>
    <rPh sb="8" eb="10">
      <t>シジ</t>
    </rPh>
    <phoneticPr fontId="8"/>
  </si>
  <si>
    <t>上記の内容であれば、曲線が複数の極小値を持つことが事前に分かっているなら、</t>
    <rPh sb="0" eb="2">
      <t>ジョウキ</t>
    </rPh>
    <rPh sb="3" eb="5">
      <t>ナイヨウ</t>
    </rPh>
    <rPh sb="10" eb="12">
      <t>キョクセン</t>
    </rPh>
    <rPh sb="13" eb="15">
      <t>フクスウ</t>
    </rPh>
    <rPh sb="16" eb="19">
      <t>キョクショウチ</t>
    </rPh>
    <rPh sb="20" eb="21">
      <t>モ</t>
    </rPh>
    <rPh sb="25" eb="27">
      <t>ジゼン</t>
    </rPh>
    <rPh sb="28" eb="29">
      <t>ワ</t>
    </rPh>
    <phoneticPr fontId="8"/>
  </si>
  <si>
    <t>このようにある程度の事前判断が出来る場合は、それも含めて指示することが大事である。</t>
    <rPh sb="7" eb="9">
      <t>テイド</t>
    </rPh>
    <rPh sb="10" eb="12">
      <t>ジゼン</t>
    </rPh>
    <rPh sb="12" eb="14">
      <t>ハンダン</t>
    </rPh>
    <rPh sb="15" eb="17">
      <t>デキ</t>
    </rPh>
    <rPh sb="18" eb="20">
      <t>バアイ</t>
    </rPh>
    <rPh sb="25" eb="26">
      <t>フク</t>
    </rPh>
    <rPh sb="28" eb="30">
      <t>シジ</t>
    </rPh>
    <rPh sb="35" eb="37">
      <t>ダイジ</t>
    </rPh>
    <phoneticPr fontId="8"/>
  </si>
  <si>
    <t>〇</t>
    <phoneticPr fontId="8"/>
  </si>
  <si>
    <r>
      <t>4</t>
    </r>
    <r>
      <rPr>
        <vertAlign val="superscript"/>
        <sz val="11"/>
        <color theme="1"/>
        <rFont val="Arial"/>
        <family val="2"/>
      </rPr>
      <t>n</t>
    </r>
    <r>
      <rPr>
        <sz val="11"/>
        <color theme="1"/>
        <rFont val="Arial"/>
      </rPr>
      <t>-4-6*(2</t>
    </r>
    <r>
      <rPr>
        <vertAlign val="superscript"/>
        <sz val="11"/>
        <color theme="1"/>
        <rFont val="Arial"/>
        <family val="2"/>
      </rPr>
      <t>n</t>
    </r>
    <r>
      <rPr>
        <sz val="11"/>
        <color theme="1"/>
        <rFont val="Arial"/>
      </rPr>
      <t>-2)-4*(3</t>
    </r>
    <r>
      <rPr>
        <vertAlign val="superscript"/>
        <sz val="11"/>
        <color theme="1"/>
        <rFont val="Arial"/>
        <family val="2"/>
      </rPr>
      <t>n</t>
    </r>
    <r>
      <rPr>
        <sz val="11"/>
        <color theme="1"/>
        <rFont val="Arial"/>
      </rPr>
      <t>-3*2</t>
    </r>
    <r>
      <rPr>
        <vertAlign val="superscript"/>
        <sz val="11"/>
        <color theme="1"/>
        <rFont val="Arial"/>
        <family val="2"/>
      </rPr>
      <t>n</t>
    </r>
    <r>
      <rPr>
        <sz val="11"/>
        <color theme="1"/>
        <rFont val="Arial"/>
      </rPr>
      <t>+3)</t>
    </r>
    <r>
      <rPr>
        <sz val="11"/>
        <color theme="1"/>
        <rFont val="Arial"/>
        <family val="2"/>
      </rPr>
      <t>=4</t>
    </r>
    <r>
      <rPr>
        <vertAlign val="superscript"/>
        <sz val="11"/>
        <color theme="1"/>
        <rFont val="Arial"/>
        <family val="2"/>
      </rPr>
      <t>n</t>
    </r>
    <r>
      <rPr>
        <sz val="11"/>
        <color theme="1"/>
        <rFont val="Arial"/>
        <family val="2"/>
      </rPr>
      <t>+6*2</t>
    </r>
    <r>
      <rPr>
        <vertAlign val="superscript"/>
        <sz val="11"/>
        <color theme="1"/>
        <rFont val="Arial"/>
        <family val="2"/>
      </rPr>
      <t>n</t>
    </r>
    <r>
      <rPr>
        <sz val="11"/>
        <color theme="1"/>
        <rFont val="Arial"/>
        <family val="2"/>
      </rPr>
      <t>-4*3</t>
    </r>
    <r>
      <rPr>
        <vertAlign val="superscript"/>
        <sz val="11"/>
        <color theme="1"/>
        <rFont val="Arial"/>
        <family val="2"/>
      </rPr>
      <t>n</t>
    </r>
    <r>
      <rPr>
        <sz val="11"/>
        <color theme="1"/>
        <rFont val="Arial"/>
        <family val="2"/>
      </rPr>
      <t>-4</t>
    </r>
    <phoneticPr fontId="8"/>
  </si>
  <si>
    <t>AIモード</t>
    <phoneticPr fontId="8"/>
  </si>
  <si>
    <t>copiloto</t>
    <phoneticPr fontId="8"/>
  </si>
  <si>
    <t>chatGPT</t>
    <phoneticPr fontId="8"/>
  </si>
  <si>
    <t>claude</t>
    <phoneticPr fontId="8"/>
  </si>
  <si>
    <t>「もっともらしさの高い言葉」を選ぶことを、少し数学や解析的に説明すると、</t>
    <rPh sb="9" eb="10">
      <t>タカ</t>
    </rPh>
    <rPh sb="11" eb="13">
      <t>コトバ</t>
    </rPh>
    <rPh sb="15" eb="16">
      <t>エラ</t>
    </rPh>
    <rPh sb="21" eb="22">
      <t>スコ</t>
    </rPh>
    <rPh sb="23" eb="25">
      <t>スウガク</t>
    </rPh>
    <rPh sb="26" eb="28">
      <t>カイセキ</t>
    </rPh>
    <rPh sb="28" eb="29">
      <t>テキ</t>
    </rPh>
    <rPh sb="30" eb="32">
      <t>セツメイ</t>
    </rPh>
    <phoneticPr fontId="8"/>
  </si>
  <si>
    <r>
      <rPr>
        <sz val="11"/>
        <color theme="1"/>
        <rFont val="ＭＳ ゴシック"/>
        <family val="3"/>
        <charset val="128"/>
      </rPr>
      <t>明確な言語で真値が常に</t>
    </r>
    <r>
      <rPr>
        <sz val="11"/>
        <color theme="1"/>
        <rFont val="Aptos Narrow"/>
        <family val="2"/>
        <scheme val="minor"/>
      </rPr>
      <t>1</t>
    </r>
    <r>
      <rPr>
        <sz val="11"/>
        <color theme="1"/>
        <rFont val="ＭＳ ゴシック"/>
        <family val="3"/>
        <charset val="128"/>
      </rPr>
      <t>つであるなら、</t>
    </r>
    <r>
      <rPr>
        <sz val="11"/>
        <color theme="1"/>
        <rFont val="游ゴシック"/>
        <family val="3"/>
        <charset val="128"/>
      </rPr>
      <t>言葉の微妙な揺れもなくなり、詩や文学なども生まれないだろう。</t>
    </r>
    <rPh sb="19" eb="21">
      <t>コトバ</t>
    </rPh>
    <rPh sb="22" eb="24">
      <t>ビミョウ</t>
    </rPh>
    <rPh sb="25" eb="26">
      <t>ユ</t>
    </rPh>
    <rPh sb="33" eb="34">
      <t>シ</t>
    </rPh>
    <rPh sb="35" eb="37">
      <t>ブンガク</t>
    </rPh>
    <rPh sb="40" eb="41">
      <t>ウ</t>
    </rPh>
    <phoneticPr fontId="8"/>
  </si>
  <si>
    <t>△※</t>
    <phoneticPr fontId="8"/>
  </si>
  <si>
    <t>※指示は問題文を張り付けただけで説明はなし</t>
    <rPh sb="1" eb="3">
      <t>シジ</t>
    </rPh>
    <rPh sb="4" eb="7">
      <t>モンダイブン</t>
    </rPh>
    <rPh sb="8" eb="9">
      <t>ハ</t>
    </rPh>
    <rPh sb="10" eb="11">
      <t>ツ</t>
    </rPh>
    <rPh sb="16" eb="18">
      <t>セツメイ</t>
    </rPh>
    <phoneticPr fontId="8"/>
  </si>
  <si>
    <r>
      <t>【</t>
    </r>
    <r>
      <rPr>
        <sz val="11"/>
        <color theme="1"/>
        <rFont val="Aptos Narrow"/>
        <family val="3"/>
      </rPr>
      <t>AI</t>
    </r>
    <r>
      <rPr>
        <sz val="11"/>
        <color theme="1"/>
        <rFont val="游ゴシック"/>
        <family val="3"/>
        <charset val="128"/>
      </rPr>
      <t>調査</t>
    </r>
    <r>
      <rPr>
        <sz val="11"/>
        <color theme="1"/>
        <rFont val="Aptos Narrow"/>
        <scheme val="minor"/>
      </rPr>
      <t>】</t>
    </r>
    <rPh sb="3" eb="5">
      <t>チョウサ</t>
    </rPh>
    <phoneticPr fontId="8"/>
  </si>
  <si>
    <t>2つ（複数）の極小値があることを事前に指示内容に含める。</t>
    <rPh sb="3" eb="5">
      <t>フクスウ</t>
    </rPh>
    <rPh sb="7" eb="10">
      <t>キョクショウチ</t>
    </rPh>
    <rPh sb="16" eb="18">
      <t>ジゼン</t>
    </rPh>
    <rPh sb="19" eb="21">
      <t>シジ</t>
    </rPh>
    <rPh sb="21" eb="23">
      <t>ナイヨウ</t>
    </rPh>
    <rPh sb="24" eb="25">
      <t>フク</t>
    </rPh>
    <phoneticPr fontId="8"/>
  </si>
  <si>
    <t>※「107」の例では、場合分けのケースを事前に指示することで、初期値も最小値近くから始めることになる</t>
    <rPh sb="7" eb="8">
      <t>レイ</t>
    </rPh>
    <rPh sb="11" eb="13">
      <t>バアイ</t>
    </rPh>
    <rPh sb="13" eb="14">
      <t>ワ</t>
    </rPh>
    <rPh sb="20" eb="22">
      <t>ジゼン</t>
    </rPh>
    <rPh sb="23" eb="25">
      <t>シジ</t>
    </rPh>
    <rPh sb="31" eb="34">
      <t>ショキチ</t>
    </rPh>
    <rPh sb="35" eb="38">
      <t>サイショウチ</t>
    </rPh>
    <rPh sb="38" eb="39">
      <t>チカ</t>
    </rPh>
    <rPh sb="42" eb="43">
      <t>ハジ</t>
    </rPh>
    <phoneticPr fontId="8"/>
  </si>
  <si>
    <t>※「107」の例では、高々全体が840通りなので、全ての値を求めて判定するように指示する</t>
    <rPh sb="7" eb="8">
      <t>レイ</t>
    </rPh>
    <rPh sb="11" eb="13">
      <t>タカダカ</t>
    </rPh>
    <rPh sb="13" eb="15">
      <t>ゼンタイ</t>
    </rPh>
    <rPh sb="19" eb="20">
      <t>トオ</t>
    </rPh>
    <rPh sb="25" eb="26">
      <t>スベ</t>
    </rPh>
    <rPh sb="28" eb="29">
      <t>アタイ</t>
    </rPh>
    <rPh sb="30" eb="31">
      <t>モト</t>
    </rPh>
    <rPh sb="33" eb="35">
      <t>ハンテイ</t>
    </rPh>
    <rPh sb="40" eb="42">
      <t>シジ</t>
    </rPh>
    <phoneticPr fontId="8"/>
  </si>
  <si>
    <r>
      <t>AI</t>
    </r>
    <r>
      <rPr>
        <sz val="11"/>
        <color theme="1"/>
        <rFont val="ＭＳ ゴシック"/>
        <family val="3"/>
        <charset val="128"/>
      </rPr>
      <t>の回答が</t>
    </r>
    <r>
      <rPr>
        <sz val="11"/>
        <color theme="1"/>
        <rFont val="Aptos Narrow"/>
        <family val="2"/>
        <scheme val="minor"/>
      </rPr>
      <t>420</t>
    </r>
    <r>
      <rPr>
        <sz val="11"/>
        <color theme="1"/>
        <rFont val="ＭＳ ゴシック"/>
        <family val="3"/>
        <charset val="128"/>
      </rPr>
      <t>となることがある</t>
    </r>
    <rPh sb="3" eb="5">
      <t>カイトウ</t>
    </rPh>
    <phoneticPr fontId="8"/>
  </si>
  <si>
    <t>【参考】</t>
    <rPh sb="1" eb="3">
      <t>サンコウ</t>
    </rPh>
    <phoneticPr fontId="8"/>
  </si>
  <si>
    <t>113問を最初間違えたことについてのclaudeへの問いと回答</t>
    <rPh sb="3" eb="4">
      <t>モン</t>
    </rPh>
    <rPh sb="5" eb="7">
      <t>サイショ</t>
    </rPh>
    <rPh sb="7" eb="9">
      <t>マチガ</t>
    </rPh>
    <rPh sb="26" eb="27">
      <t>ト</t>
    </rPh>
    <rPh sb="29" eb="31">
      <t>カイトウ</t>
    </rPh>
    <phoneticPr fontId="8"/>
  </si>
  <si>
    <t>多面的な視点で考えると、場合分けの指示に加えて、更に全探査も加えると、間違いを防ぐ確率が上がる。</t>
    <rPh sb="0" eb="3">
      <t>タメンテキ</t>
    </rPh>
    <rPh sb="4" eb="6">
      <t>シテン</t>
    </rPh>
    <rPh sb="7" eb="8">
      <t>カンガ</t>
    </rPh>
    <rPh sb="12" eb="14">
      <t>バアイ</t>
    </rPh>
    <rPh sb="14" eb="15">
      <t>ワ</t>
    </rPh>
    <rPh sb="17" eb="19">
      <t>シジ</t>
    </rPh>
    <rPh sb="20" eb="21">
      <t>クワ</t>
    </rPh>
    <rPh sb="24" eb="25">
      <t>サラ</t>
    </rPh>
    <rPh sb="26" eb="27">
      <t>ゼン</t>
    </rPh>
    <rPh sb="27" eb="29">
      <t>タンサ</t>
    </rPh>
    <rPh sb="30" eb="31">
      <t>クワ</t>
    </rPh>
    <rPh sb="35" eb="37">
      <t>マチガ</t>
    </rPh>
    <rPh sb="39" eb="40">
      <t>フセ</t>
    </rPh>
    <rPh sb="41" eb="43">
      <t>カクリツ</t>
    </rPh>
    <rPh sb="44" eb="45">
      <t>ア</t>
    </rPh>
    <phoneticPr fontId="8"/>
  </si>
  <si>
    <t>人は思い込みで間違った判断をすることもある、不十分な場合分けを指示して間違えることも考えられる。</t>
    <rPh sb="0" eb="1">
      <t>ヒト</t>
    </rPh>
    <rPh sb="2" eb="3">
      <t>オモ</t>
    </rPh>
    <rPh sb="4" eb="5">
      <t>コ</t>
    </rPh>
    <rPh sb="7" eb="9">
      <t>マチガ</t>
    </rPh>
    <rPh sb="11" eb="13">
      <t>ハンダン</t>
    </rPh>
    <rPh sb="22" eb="25">
      <t>フジュウブン</t>
    </rPh>
    <rPh sb="26" eb="28">
      <t>バアイ</t>
    </rPh>
    <rPh sb="28" eb="29">
      <t>ワ</t>
    </rPh>
    <rPh sb="31" eb="33">
      <t>シジ</t>
    </rPh>
    <rPh sb="35" eb="37">
      <t>マチガ</t>
    </rPh>
    <rPh sb="42" eb="43">
      <t>カンガ</t>
    </rPh>
    <phoneticPr fontId="8"/>
  </si>
  <si>
    <t>【間違いの原因】</t>
    <rPh sb="1" eb="3">
      <t>マチガ</t>
    </rPh>
    <rPh sb="5" eb="7">
      <t>ゲンイン</t>
    </rPh>
    <phoneticPr fontId="8"/>
  </si>
  <si>
    <t>人間にしかできない本当の仕事とは、</t>
  </si>
  <si>
    <r>
      <rPr>
        <sz val="11"/>
        <color theme="1"/>
        <rFont val="Aptos Narrow"/>
        <family val="3"/>
        <charset val="128"/>
        <scheme val="minor"/>
      </rPr>
      <t>※</t>
    </r>
    <r>
      <rPr>
        <sz val="11"/>
        <color theme="1"/>
        <rFont val="Aptos Narrow"/>
        <family val="2"/>
        <scheme val="minor"/>
      </rPr>
      <t>IntelliJ IDEA</t>
    </r>
    <r>
      <rPr>
        <sz val="11"/>
        <color theme="1"/>
        <rFont val="Aptos Narrow"/>
        <family val="2"/>
        <charset val="128"/>
        <scheme val="minor"/>
      </rPr>
      <t>での</t>
    </r>
    <r>
      <rPr>
        <sz val="11"/>
        <color theme="1"/>
        <rFont val="Aptos Narrow"/>
        <family val="2"/>
        <scheme val="minor"/>
      </rPr>
      <t>JAVA</t>
    </r>
    <r>
      <rPr>
        <sz val="11"/>
        <color theme="1"/>
        <rFont val="Aptos Narrow"/>
        <family val="2"/>
        <charset val="128"/>
        <scheme val="minor"/>
      </rPr>
      <t>コードの</t>
    </r>
    <r>
      <rPr>
        <sz val="11"/>
        <color theme="1"/>
        <rFont val="Aptos Narrow"/>
        <family val="2"/>
        <scheme val="minor"/>
      </rPr>
      <t>AI</t>
    </r>
    <r>
      <rPr>
        <sz val="11"/>
        <color theme="1"/>
        <rFont val="Aptos Narrow"/>
        <family val="2"/>
        <charset val="128"/>
        <scheme val="minor"/>
      </rPr>
      <t>アシスタント</t>
    </r>
    <r>
      <rPr>
        <sz val="11"/>
        <color theme="1"/>
        <rFont val="Aptos Narrow"/>
        <family val="2"/>
        <scheme val="minor"/>
      </rPr>
      <t>(gpt-4o-mini)</t>
    </r>
    <r>
      <rPr>
        <sz val="11"/>
        <color theme="1"/>
        <rFont val="Aptos Narrow"/>
        <family val="2"/>
        <charset val="128"/>
        <scheme val="minor"/>
      </rPr>
      <t>も試したが、</t>
    </r>
    <r>
      <rPr>
        <sz val="11"/>
        <color theme="1"/>
        <rFont val="Aptos Narrow"/>
        <family val="3"/>
        <charset val="128"/>
        <scheme val="minor"/>
      </rPr>
      <t>組み込んであるからか、解答途中で出力出来なかったりしたので、表には載せていない。</t>
    </r>
    <rPh sb="46" eb="47">
      <t>タメ</t>
    </rPh>
    <phoneticPr fontId="8"/>
  </si>
  <si>
    <r>
      <rPr>
        <sz val="11"/>
        <color theme="1"/>
        <rFont val="Aptos Narrow"/>
        <family val="3"/>
        <charset val="128"/>
        <scheme val="minor"/>
      </rPr>
      <t>※</t>
    </r>
    <r>
      <rPr>
        <sz val="11"/>
        <color theme="1"/>
        <rFont val="Aptos Narrow"/>
        <family val="2"/>
        <scheme val="minor"/>
      </rPr>
      <t>Claude</t>
    </r>
    <r>
      <rPr>
        <sz val="11"/>
        <color theme="1"/>
        <rFont val="Aptos Narrow"/>
        <family val="3"/>
        <charset val="128"/>
        <scheme val="minor"/>
      </rPr>
      <t>は「長い文脈の論理構造を厳密にシミュレーションする能力」が非常に高く設計されているため、このような文章問題に強いと考えられる</t>
    </r>
    <rPh sb="56" eb="58">
      <t>ブンショウ</t>
    </rPh>
    <rPh sb="58" eb="60">
      <t>モンダイ</t>
    </rPh>
    <rPh sb="61" eb="62">
      <t>ツヨ</t>
    </rPh>
    <rPh sb="64" eb="65">
      <t>カンガ</t>
    </rPh>
    <phoneticPr fontId="8"/>
  </si>
  <si>
    <r>
      <rPr>
        <sz val="11"/>
        <color theme="1"/>
        <rFont val="Aptos Narrow"/>
        <family val="3"/>
        <charset val="128"/>
        <scheme val="minor"/>
      </rPr>
      <t>典型的だが、</t>
    </r>
    <r>
      <rPr>
        <sz val="11"/>
        <color theme="1"/>
        <rFont val="Aptos Narrow"/>
        <family val="2"/>
        <scheme val="minor"/>
      </rPr>
      <t>AI</t>
    </r>
    <r>
      <rPr>
        <sz val="11"/>
        <color theme="1"/>
        <rFont val="Aptos Narrow"/>
        <family val="3"/>
        <charset val="128"/>
        <scheme val="minor"/>
      </rPr>
      <t>が間違えないパターンが見えてくる。</t>
    </r>
    <rPh sb="0" eb="3">
      <t>テンケイテキ</t>
    </rPh>
    <rPh sb="9" eb="11">
      <t>マチガ</t>
    </rPh>
    <rPh sb="19" eb="20">
      <t>ミ</t>
    </rPh>
    <phoneticPr fontId="8"/>
  </si>
  <si>
    <r>
      <t>[108]</t>
    </r>
    <r>
      <rPr>
        <sz val="11"/>
        <color theme="1"/>
        <rFont val="Aptos Narrow"/>
        <family val="3"/>
        <charset val="128"/>
        <scheme val="minor"/>
      </rPr>
      <t>のように、それぞれ計算させることにより、一致することを確認し、なぜ一致するか問う問題。</t>
    </r>
    <rPh sb="43" eb="44">
      <t>ト</t>
    </rPh>
    <rPh sb="45" eb="47">
      <t>モンダイ</t>
    </rPh>
    <phoneticPr fontId="8"/>
  </si>
  <si>
    <r>
      <t>2</t>
    </r>
    <r>
      <rPr>
        <sz val="11"/>
        <color theme="1"/>
        <rFont val="Aptos Narrow"/>
        <family val="3"/>
        <charset val="128"/>
        <scheme val="minor"/>
      </rPr>
      <t>ケースでの計算、それが一致することの確認、一致する意味の説明</t>
    </r>
    <rPh sb="6" eb="8">
      <t>ケイサン</t>
    </rPh>
    <rPh sb="12" eb="14">
      <t>イッチ</t>
    </rPh>
    <rPh sb="19" eb="21">
      <t>カクニン</t>
    </rPh>
    <rPh sb="22" eb="24">
      <t>イッチ</t>
    </rPh>
    <rPh sb="26" eb="28">
      <t>イミ</t>
    </rPh>
    <rPh sb="29" eb="31">
      <t>セツメイ</t>
    </rPh>
    <phoneticPr fontId="8"/>
  </si>
  <si>
    <r>
      <rPr>
        <sz val="11"/>
        <color theme="1"/>
        <rFont val="Aptos Narrow"/>
        <family val="3"/>
        <charset val="128"/>
        <scheme val="minor"/>
      </rPr>
      <t>このように</t>
    </r>
    <r>
      <rPr>
        <sz val="11"/>
        <color theme="1"/>
        <rFont val="Aptos Narrow"/>
        <family val="2"/>
        <scheme val="minor"/>
      </rPr>
      <t>AI</t>
    </r>
    <r>
      <rPr>
        <sz val="11"/>
        <color theme="1"/>
        <rFont val="Aptos Narrow"/>
        <family val="3"/>
        <charset val="128"/>
        <scheme val="minor"/>
      </rPr>
      <t>自体が確認し出力するポイント</t>
    </r>
    <r>
      <rPr>
        <sz val="11"/>
        <color theme="1"/>
        <rFont val="Aptos Narrow"/>
        <family val="2"/>
        <scheme val="minor"/>
      </rPr>
      <t>(</t>
    </r>
    <r>
      <rPr>
        <sz val="11"/>
        <color theme="1"/>
        <rFont val="Aptos Narrow"/>
        <family val="3"/>
        <charset val="128"/>
        <scheme val="minor"/>
      </rPr>
      <t>検算、見直し</t>
    </r>
    <r>
      <rPr>
        <sz val="11"/>
        <color theme="1"/>
        <rFont val="Aptos Narrow"/>
        <family val="2"/>
        <scheme val="minor"/>
      </rPr>
      <t>)</t>
    </r>
    <r>
      <rPr>
        <sz val="11"/>
        <color theme="1"/>
        <rFont val="Aptos Narrow"/>
        <family val="3"/>
        <charset val="128"/>
        <scheme val="minor"/>
      </rPr>
      <t>が複数ある</t>
    </r>
    <rPh sb="22" eb="24">
      <t>ケンザン</t>
    </rPh>
    <rPh sb="25" eb="27">
      <t>ミナオ</t>
    </rPh>
    <phoneticPr fontId="8"/>
  </si>
  <si>
    <r>
      <t>AI</t>
    </r>
    <r>
      <rPr>
        <sz val="11"/>
        <color theme="1"/>
        <rFont val="Aptos Narrow"/>
        <family val="3"/>
        <charset val="128"/>
        <scheme val="minor"/>
      </rPr>
      <t>に指示をする場合は、</t>
    </r>
    <r>
      <rPr>
        <sz val="11"/>
        <color theme="1"/>
        <rFont val="Aptos Narrow"/>
        <family val="2"/>
        <scheme val="minor"/>
      </rPr>
      <t>1</t>
    </r>
    <r>
      <rPr>
        <sz val="11"/>
        <color theme="1"/>
        <rFont val="Aptos Narrow"/>
        <family val="3"/>
        <charset val="128"/>
        <scheme val="minor"/>
      </rPr>
      <t>つのパターンだけでなく、違う方向からの視点での指示、背後の理論まで合わせて指示すると良いようだ</t>
    </r>
    <rPh sb="3" eb="5">
      <t>シジ</t>
    </rPh>
    <rPh sb="8" eb="10">
      <t>バアイ</t>
    </rPh>
    <rPh sb="25" eb="26">
      <t>チガ</t>
    </rPh>
    <rPh sb="27" eb="29">
      <t>ホウコウ</t>
    </rPh>
    <rPh sb="32" eb="34">
      <t>シテン</t>
    </rPh>
    <rPh sb="36" eb="38">
      <t>シジ</t>
    </rPh>
    <rPh sb="39" eb="41">
      <t>ハイゴ</t>
    </rPh>
    <rPh sb="42" eb="44">
      <t>リロン</t>
    </rPh>
    <rPh sb="46" eb="47">
      <t>ア</t>
    </rPh>
    <rPh sb="50" eb="52">
      <t>シジ</t>
    </rPh>
    <rPh sb="55" eb="56">
      <t>イ</t>
    </rPh>
    <phoneticPr fontId="8"/>
  </si>
  <si>
    <r>
      <rPr>
        <sz val="11"/>
        <color theme="1"/>
        <rFont val="Aptos Narrow"/>
        <family val="3"/>
        <charset val="128"/>
        <scheme val="minor"/>
      </rPr>
      <t>【参考】として</t>
    </r>
    <r>
      <rPr>
        <sz val="11"/>
        <color theme="1"/>
        <rFont val="Aptos Narrow"/>
        <family val="2"/>
        <scheme val="minor"/>
      </rPr>
      <t>claude</t>
    </r>
    <r>
      <rPr>
        <sz val="11"/>
        <color theme="1"/>
        <rFont val="Aptos Narrow"/>
        <family val="3"/>
        <charset val="128"/>
        <scheme val="minor"/>
      </rPr>
      <t>に間違った原因を問い合わせた内容と、解答を貼っておく</t>
    </r>
    <rPh sb="1" eb="3">
      <t>サンコウ</t>
    </rPh>
    <rPh sb="14" eb="16">
      <t>マチガ</t>
    </rPh>
    <rPh sb="18" eb="20">
      <t>ゲンイン</t>
    </rPh>
    <rPh sb="21" eb="22">
      <t>ト</t>
    </rPh>
    <rPh sb="23" eb="24">
      <t>ア</t>
    </rPh>
    <rPh sb="27" eb="29">
      <t>ナイヨウ</t>
    </rPh>
    <rPh sb="31" eb="33">
      <t>カイトウ</t>
    </rPh>
    <rPh sb="34" eb="35">
      <t>ハ</t>
    </rPh>
    <phoneticPr fontId="8"/>
  </si>
  <si>
    <r>
      <rPr>
        <sz val="11"/>
        <color theme="1"/>
        <rFont val="Aptos Narrow"/>
        <family val="3"/>
        <charset val="128"/>
        <scheme val="minor"/>
      </rPr>
      <t>結論として、原因は不明であり、誤ったことを今回は自己修正出来たから良いが、</t>
    </r>
    <rPh sb="0" eb="2">
      <t>ケツロン</t>
    </rPh>
    <rPh sb="6" eb="8">
      <t>ゲンイン</t>
    </rPh>
    <rPh sb="9" eb="11">
      <t>フメイ</t>
    </rPh>
    <rPh sb="15" eb="16">
      <t>アヤマ</t>
    </rPh>
    <rPh sb="21" eb="23">
      <t>コンカイ</t>
    </rPh>
    <rPh sb="24" eb="26">
      <t>ジコ</t>
    </rPh>
    <rPh sb="26" eb="28">
      <t>シュウセイ</t>
    </rPh>
    <rPh sb="28" eb="30">
      <t>デキ</t>
    </rPh>
    <rPh sb="33" eb="34">
      <t>イ</t>
    </rPh>
    <phoneticPr fontId="8"/>
  </si>
  <si>
    <r>
      <rPr>
        <sz val="11"/>
        <color theme="1"/>
        <rFont val="Aptos Narrow"/>
        <family val="3"/>
        <charset val="128"/>
        <scheme val="minor"/>
      </rPr>
      <t>何故間違えるかの原因が問い合わせでは見出すことが出来なかった。</t>
    </r>
    <rPh sb="0" eb="2">
      <t>ナゼ</t>
    </rPh>
    <rPh sb="2" eb="4">
      <t>マチガ</t>
    </rPh>
    <rPh sb="8" eb="10">
      <t>ゲンイン</t>
    </rPh>
    <rPh sb="11" eb="12">
      <t>ト</t>
    </rPh>
    <rPh sb="13" eb="14">
      <t>ア</t>
    </rPh>
    <rPh sb="18" eb="20">
      <t>ミイダ</t>
    </rPh>
    <rPh sb="24" eb="26">
      <t>デキ</t>
    </rPh>
    <phoneticPr fontId="8"/>
  </si>
  <si>
    <r>
      <rPr>
        <sz val="11"/>
        <color theme="1"/>
        <rFont val="Aptos Narrow"/>
        <family val="3"/>
        <charset val="128"/>
        <scheme val="minor"/>
      </rPr>
      <t>業務・仕事として</t>
    </r>
    <r>
      <rPr>
        <sz val="11"/>
        <color theme="1"/>
        <rFont val="Aptos Narrow"/>
        <family val="2"/>
        <scheme val="minor"/>
      </rPr>
      <t>AI</t>
    </r>
    <r>
      <rPr>
        <sz val="11"/>
        <color theme="1"/>
        <rFont val="Aptos Narrow"/>
        <family val="3"/>
        <charset val="128"/>
        <scheme val="minor"/>
      </rPr>
      <t>を活用する場合、人間のチェックと同時に、正解を出しやすい指示の仕方も大事だと言える</t>
    </r>
    <rPh sb="0" eb="2">
      <t>ギョウム</t>
    </rPh>
    <rPh sb="3" eb="5">
      <t>シゴト</t>
    </rPh>
    <rPh sb="11" eb="13">
      <t>カツヨウ</t>
    </rPh>
    <rPh sb="15" eb="17">
      <t>バアイ</t>
    </rPh>
    <rPh sb="18" eb="20">
      <t>ニンゲン</t>
    </rPh>
    <rPh sb="26" eb="28">
      <t>ドウジ</t>
    </rPh>
    <rPh sb="30" eb="32">
      <t>セイカイ</t>
    </rPh>
    <rPh sb="33" eb="34">
      <t>ダ</t>
    </rPh>
    <rPh sb="38" eb="40">
      <t>シジ</t>
    </rPh>
    <rPh sb="41" eb="43">
      <t>シカタ</t>
    </rPh>
    <rPh sb="44" eb="46">
      <t>ダイジ</t>
    </rPh>
    <rPh sb="48" eb="49">
      <t>イ</t>
    </rPh>
    <phoneticPr fontId="8"/>
  </si>
  <si>
    <r>
      <t>AI</t>
    </r>
    <r>
      <rPr>
        <sz val="11"/>
        <color theme="1"/>
        <rFont val="Aptos Narrow"/>
        <family val="3"/>
        <charset val="128"/>
        <scheme val="minor"/>
      </rPr>
      <t>を思考の最適な壁打ち相手とするならば、</t>
    </r>
    <r>
      <rPr>
        <sz val="11"/>
        <color theme="1"/>
        <rFont val="Aptos Narrow"/>
        <family val="2"/>
        <scheme val="minor"/>
      </rPr>
      <t>[116]</t>
    </r>
    <r>
      <rPr>
        <sz val="11"/>
        <color theme="1"/>
        <rFont val="Aptos Narrow"/>
        <family val="3"/>
        <charset val="128"/>
        <scheme val="minor"/>
      </rPr>
      <t>の円が</t>
    </r>
    <r>
      <rPr>
        <sz val="11"/>
        <color theme="1"/>
        <rFont val="Aptos Narrow"/>
        <family val="2"/>
        <scheme val="minor"/>
      </rPr>
      <t>1</t>
    </r>
    <r>
      <rPr>
        <sz val="11"/>
        <color theme="1"/>
        <rFont val="Aptos Narrow"/>
        <family val="3"/>
        <charset val="128"/>
        <scheme val="minor"/>
      </rPr>
      <t>つの場合、</t>
    </r>
    <r>
      <rPr>
        <sz val="11"/>
        <color theme="1"/>
        <rFont val="Aptos Narrow"/>
        <family val="2"/>
        <scheme val="minor"/>
      </rPr>
      <t>2</t>
    </r>
    <r>
      <rPr>
        <sz val="11"/>
        <color theme="1"/>
        <rFont val="Aptos Narrow"/>
        <family val="3"/>
        <charset val="128"/>
        <scheme val="minor"/>
      </rPr>
      <t>つの場合のように順に指示し、</t>
    </r>
    <rPh sb="3" eb="5">
      <t>シコウ</t>
    </rPh>
    <rPh sb="6" eb="8">
      <t>サイテキ</t>
    </rPh>
    <rPh sb="9" eb="10">
      <t>カベ</t>
    </rPh>
    <rPh sb="10" eb="11">
      <t>ウ</t>
    </rPh>
    <rPh sb="12" eb="14">
      <t>アイテ</t>
    </rPh>
    <rPh sb="27" eb="28">
      <t>エン</t>
    </rPh>
    <rPh sb="32" eb="34">
      <t>バアイ</t>
    </rPh>
    <rPh sb="38" eb="40">
      <t>バアイ</t>
    </rPh>
    <rPh sb="44" eb="45">
      <t>ジュン</t>
    </rPh>
    <rPh sb="46" eb="48">
      <t>シジ</t>
    </rPh>
    <phoneticPr fontId="8"/>
  </si>
  <si>
    <r>
      <rPr>
        <sz val="11"/>
        <color theme="1"/>
        <rFont val="Aptos Narrow"/>
        <family val="3"/>
        <charset val="128"/>
        <scheme val="minor"/>
      </rPr>
      <t>同様に、</t>
    </r>
    <r>
      <rPr>
        <sz val="11"/>
        <color theme="1"/>
        <rFont val="Aptos Narrow"/>
        <family val="2"/>
        <scheme val="minor"/>
      </rPr>
      <t>[110]はAI全てが正解しているが、理解するために具体的な数値5、6、・・・と順に増やして</t>
    </r>
    <r>
      <rPr>
        <sz val="11"/>
        <color theme="1"/>
        <rFont val="Aptos Narrow"/>
        <family val="3"/>
        <charset val="128"/>
        <scheme val="minor"/>
      </rPr>
      <t>指示し、</t>
    </r>
    <rPh sb="0" eb="2">
      <t>ドウヨウ</t>
    </rPh>
    <rPh sb="12" eb="13">
      <t>スベ</t>
    </rPh>
    <rPh sb="15" eb="17">
      <t>セイカイ</t>
    </rPh>
    <rPh sb="23" eb="25">
      <t>リカイ</t>
    </rPh>
    <rPh sb="30" eb="33">
      <t>グタイテキ</t>
    </rPh>
    <rPh sb="34" eb="36">
      <t>スウチ</t>
    </rPh>
    <rPh sb="44" eb="45">
      <t>ジュン</t>
    </rPh>
    <rPh sb="46" eb="47">
      <t>フ</t>
    </rPh>
    <rPh sb="50" eb="52">
      <t>シジ</t>
    </rPh>
    <phoneticPr fontId="8"/>
  </si>
  <si>
    <t>1. AIが出した答えに対して「本当にそうか？」と多面的に疑うこだわり（違和感）を持つこと。</t>
  </si>
  <si>
    <r>
      <rPr>
        <sz val="11"/>
        <color theme="1"/>
        <rFont val="ＭＳ ゴシック"/>
        <family val="3"/>
        <charset val="128"/>
      </rPr>
      <t>解答を確認しながら最終的に</t>
    </r>
    <r>
      <rPr>
        <sz val="11"/>
        <color theme="1"/>
        <rFont val="Aptos Narrow"/>
        <family val="2"/>
        <scheme val="minor"/>
      </rPr>
      <t>4</t>
    </r>
    <r>
      <rPr>
        <sz val="11"/>
        <color theme="1"/>
        <rFont val="ＭＳ ゴシック"/>
        <family val="3"/>
        <charset val="128"/>
      </rPr>
      <t>つの円、一般化した</t>
    </r>
    <r>
      <rPr>
        <sz val="11"/>
        <color theme="1"/>
        <rFont val="Aptos Narrow"/>
        <family val="2"/>
        <scheme val="minor"/>
      </rPr>
      <t>n</t>
    </r>
    <r>
      <rPr>
        <sz val="11"/>
        <color theme="1"/>
        <rFont val="ＭＳ ゴシック"/>
        <family val="3"/>
        <charset val="128"/>
      </rPr>
      <t>円で考えることも大事である。</t>
    </r>
    <rPh sb="0" eb="2">
      <t>カイトウ</t>
    </rPh>
    <rPh sb="3" eb="5">
      <t>カクニン</t>
    </rPh>
    <rPh sb="9" eb="12">
      <t>サイシュウテキ</t>
    </rPh>
    <rPh sb="16" eb="17">
      <t>エン</t>
    </rPh>
    <rPh sb="18" eb="21">
      <t>イッパンカ</t>
    </rPh>
    <rPh sb="24" eb="25">
      <t>エン</t>
    </rPh>
    <rPh sb="26" eb="27">
      <t>カンガ</t>
    </rPh>
    <rPh sb="32" eb="34">
      <t>ダイジ</t>
    </rPh>
    <phoneticPr fontId="8"/>
  </si>
  <si>
    <t>また数万程度の全探査であるならば、全探査することを指示するのも良い。</t>
    <rPh sb="2" eb="3">
      <t>スウ</t>
    </rPh>
    <rPh sb="3" eb="4">
      <t>マン</t>
    </rPh>
    <rPh sb="4" eb="6">
      <t>テイド</t>
    </rPh>
    <rPh sb="7" eb="8">
      <t>ゼン</t>
    </rPh>
    <rPh sb="8" eb="10">
      <t>タンサ</t>
    </rPh>
    <rPh sb="17" eb="18">
      <t>ゼン</t>
    </rPh>
    <rPh sb="18" eb="20">
      <t>タンサ</t>
    </rPh>
    <rPh sb="25" eb="27">
      <t>シジ</t>
    </rPh>
    <rPh sb="31" eb="32">
      <t>イ</t>
    </rPh>
    <phoneticPr fontId="8"/>
  </si>
  <si>
    <r>
      <t>AI</t>
    </r>
    <r>
      <rPr>
        <sz val="11"/>
        <color theme="1"/>
        <rFont val="Aptos Narrow"/>
        <family val="3"/>
        <charset val="128"/>
        <scheme val="minor"/>
      </rPr>
      <t>が間違えるケースをあぶりだすために、以下</t>
    </r>
    <r>
      <rPr>
        <sz val="11"/>
        <color theme="1"/>
        <rFont val="Aptos Narrow"/>
        <family val="2"/>
        <scheme val="minor"/>
      </rPr>
      <t>4</t>
    </r>
    <r>
      <rPr>
        <sz val="11"/>
        <color theme="1"/>
        <rFont val="Aptos Narrow"/>
        <family val="3"/>
        <charset val="128"/>
        <scheme val="minor"/>
      </rPr>
      <t>つの</t>
    </r>
    <r>
      <rPr>
        <sz val="11"/>
        <color theme="1"/>
        <rFont val="Aptos Narrow"/>
        <family val="2"/>
        <scheme val="minor"/>
      </rPr>
      <t>AI</t>
    </r>
    <r>
      <rPr>
        <sz val="11"/>
        <color theme="1"/>
        <rFont val="Aptos Narrow"/>
        <family val="3"/>
        <charset val="128"/>
        <scheme val="minor"/>
      </rPr>
      <t>エージェントを調査した。</t>
    </r>
    <rPh sb="3" eb="5">
      <t>マチガ</t>
    </rPh>
    <rPh sb="20" eb="22">
      <t>イカ</t>
    </rPh>
    <rPh sb="34" eb="36">
      <t>チョウサ</t>
    </rPh>
    <phoneticPr fontId="8"/>
  </si>
  <si>
    <r>
      <t>Google</t>
    </r>
    <r>
      <rPr>
        <sz val="11"/>
        <color theme="1"/>
        <rFont val="Aptos Narrow"/>
        <family val="3"/>
        <charset val="128"/>
        <scheme val="minor"/>
      </rPr>
      <t>検索の</t>
    </r>
    <r>
      <rPr>
        <sz val="11"/>
        <color theme="1"/>
        <rFont val="Aptos Narrow"/>
        <family val="2"/>
        <scheme val="minor"/>
      </rPr>
      <t>AI</t>
    </r>
    <r>
      <rPr>
        <sz val="11"/>
        <color theme="1"/>
        <rFont val="Aptos Narrow"/>
        <family val="3"/>
        <charset val="128"/>
        <scheme val="minor"/>
      </rPr>
      <t>モード</t>
    </r>
    <rPh sb="6" eb="8">
      <t>ケンサク</t>
    </rPh>
    <phoneticPr fontId="8"/>
  </si>
  <si>
    <r>
      <rPr>
        <sz val="11"/>
        <color theme="1"/>
        <rFont val="Aptos Narrow"/>
        <family val="3"/>
        <charset val="128"/>
        <scheme val="minor"/>
      </rPr>
      <t>※一旦間違えたが、解説の出力中に正解にたどり着いた</t>
    </r>
    <rPh sb="1" eb="3">
      <t>イッタン</t>
    </rPh>
    <rPh sb="3" eb="5">
      <t>マチガ</t>
    </rPh>
    <rPh sb="9" eb="11">
      <t>カイセツ</t>
    </rPh>
    <rPh sb="12" eb="14">
      <t>シュツリョク</t>
    </rPh>
    <rPh sb="14" eb="15">
      <t>ナカ</t>
    </rPh>
    <rPh sb="16" eb="18">
      <t>セイカイ</t>
    </rPh>
    <rPh sb="22" eb="23">
      <t>ツ</t>
    </rPh>
    <phoneticPr fontId="8"/>
  </si>
  <si>
    <r>
      <rPr>
        <sz val="11"/>
        <color theme="1"/>
        <rFont val="ＭＳ ゴシック"/>
        <family val="3"/>
        <charset val="128"/>
      </rPr>
      <t>最終的な一般化</t>
    </r>
    <r>
      <rPr>
        <sz val="11"/>
        <color theme="1"/>
        <rFont val="Aptos Narrow"/>
        <family val="2"/>
        <scheme val="minor"/>
      </rPr>
      <t>n</t>
    </r>
    <r>
      <rPr>
        <sz val="11"/>
        <color theme="1"/>
        <rFont val="ＭＳ ゴシック"/>
        <family val="3"/>
        <charset val="128"/>
      </rPr>
      <t>の場合に繋げていくのが、理解し、思考を整理する方法としても有効だと思われる。</t>
    </r>
    <rPh sb="0" eb="3">
      <t>サイシュウテキ</t>
    </rPh>
    <rPh sb="4" eb="6">
      <t>イッパン</t>
    </rPh>
    <rPh sb="6" eb="7">
      <t>カ</t>
    </rPh>
    <rPh sb="9" eb="11">
      <t>バアイ</t>
    </rPh>
    <rPh sb="12" eb="13">
      <t>ツナ</t>
    </rPh>
    <rPh sb="20" eb="22">
      <t>リカイ</t>
    </rPh>
    <rPh sb="24" eb="26">
      <t>シコウ</t>
    </rPh>
    <rPh sb="27" eb="29">
      <t>セイリ</t>
    </rPh>
    <rPh sb="31" eb="33">
      <t>ホウホウ</t>
    </rPh>
    <rPh sb="37" eb="39">
      <t>ユウコウ</t>
    </rPh>
    <rPh sb="41" eb="42">
      <t>オモ</t>
    </rPh>
    <phoneticPr fontId="8"/>
  </si>
  <si>
    <r>
      <rPr>
        <sz val="11"/>
        <color theme="1"/>
        <rFont val="Aptos Narrow"/>
        <family val="3"/>
        <charset val="128"/>
        <scheme val="minor"/>
      </rPr>
      <t>【まとめとして】</t>
    </r>
    <phoneticPr fontId="8"/>
  </si>
  <si>
    <r>
      <rPr>
        <sz val="12"/>
        <color theme="1"/>
        <rFont val="Aptos Narrow"/>
        <family val="3"/>
        <charset val="128"/>
        <scheme val="minor"/>
      </rPr>
      <t>今回の調査で分かった通り、</t>
    </r>
    <r>
      <rPr>
        <sz val="12"/>
        <color theme="1"/>
        <rFont val="Aptos Narrow"/>
        <family val="2"/>
        <scheme val="minor"/>
      </rPr>
      <t>AI</t>
    </r>
    <r>
      <rPr>
        <sz val="12"/>
        <color theme="1"/>
        <rFont val="Aptos Narrow"/>
        <family val="3"/>
        <charset val="128"/>
        <scheme val="minor"/>
      </rPr>
      <t>は「既知の定型問題</t>
    </r>
    <r>
      <rPr>
        <sz val="12"/>
        <color theme="1"/>
        <rFont val="Aptos Narrow"/>
        <family val="2"/>
        <scheme val="minor"/>
      </rPr>
      <t>([110]</t>
    </r>
    <r>
      <rPr>
        <sz val="12"/>
        <color theme="1"/>
        <rFont val="Aptos Narrow"/>
        <family val="3"/>
        <charset val="128"/>
        <scheme val="minor"/>
      </rPr>
      <t>など）」には正しく解答するが、条件に「複雑な境界条件（</t>
    </r>
    <r>
      <rPr>
        <sz val="12"/>
        <color theme="1"/>
        <rFont val="Aptos Narrow"/>
        <family val="2"/>
        <scheme val="minor"/>
      </rPr>
      <t>[107]</t>
    </r>
    <r>
      <rPr>
        <sz val="12"/>
        <color theme="1"/>
        <rFont val="Aptos Narrow"/>
        <family val="2"/>
        <charset val="128"/>
        <scheme val="minor"/>
      </rPr>
      <t>など</t>
    </r>
    <r>
      <rPr>
        <sz val="12"/>
        <color theme="1"/>
        <rFont val="Aptos Narrow"/>
        <family val="3"/>
        <charset val="128"/>
        <scheme val="minor"/>
      </rPr>
      <t>）」がある問題は不得意である。</t>
    </r>
    <rPh sb="36" eb="37">
      <t>タダ</t>
    </rPh>
    <rPh sb="39" eb="41">
      <t>カイトウ</t>
    </rPh>
    <rPh sb="49" eb="51">
      <t>フクザツ</t>
    </rPh>
    <rPh sb="54" eb="56">
      <t>ジョウケン</t>
    </rPh>
    <rPh sb="69" eb="71">
      <t>モンダイ</t>
    </rPh>
    <rPh sb="72" eb="75">
      <t>フトクイ</t>
    </rPh>
    <phoneticPr fontId="8"/>
  </si>
  <si>
    <r>
      <rPr>
        <sz val="12"/>
        <color theme="1"/>
        <rFont val="Aptos Narrow"/>
        <family val="3"/>
        <charset val="128"/>
        <scheme val="minor"/>
      </rPr>
      <t>これからの</t>
    </r>
    <r>
      <rPr>
        <sz val="12"/>
        <color theme="1"/>
        <rFont val="Aptos Narrow"/>
        <family val="2"/>
        <scheme val="minor"/>
      </rPr>
      <t>AI</t>
    </r>
    <r>
      <rPr>
        <sz val="12"/>
        <color theme="1"/>
        <rFont val="Aptos Narrow"/>
        <family val="3"/>
        <charset val="128"/>
        <scheme val="minor"/>
      </rPr>
      <t>時代、</t>
    </r>
    <r>
      <rPr>
        <sz val="12"/>
        <color theme="1"/>
        <rFont val="Aptos Narrow"/>
        <family val="2"/>
        <scheme val="minor"/>
      </rPr>
      <t>AI</t>
    </r>
    <r>
      <rPr>
        <sz val="12"/>
        <color theme="1"/>
        <rFont val="Aptos Narrow"/>
        <family val="2"/>
        <charset val="128"/>
        <scheme val="minor"/>
      </rPr>
      <t>でも分からずに不具合を吐き出すこともあることを念頭におけば、そのコード</t>
    </r>
    <r>
      <rPr>
        <sz val="12"/>
        <color theme="1"/>
        <rFont val="Aptos Narrow"/>
        <family val="3"/>
        <charset val="128"/>
        <scheme val="minor"/>
      </rPr>
      <t>そのままコピペして満足するエンジニアは生き残れない。</t>
    </r>
    <rPh sb="14" eb="15">
      <t>ワ</t>
    </rPh>
    <rPh sb="19" eb="22">
      <t>フグアイ</t>
    </rPh>
    <rPh sb="23" eb="24">
      <t>ハ</t>
    </rPh>
    <rPh sb="25" eb="26">
      <t>ダ</t>
    </rPh>
    <rPh sb="35" eb="37">
      <t>ネントウ</t>
    </rPh>
    <phoneticPr fontId="8"/>
  </si>
  <si>
    <r>
      <t xml:space="preserve">2. </t>
    </r>
    <r>
      <rPr>
        <sz val="12"/>
        <color theme="1"/>
        <rFont val="Aptos Narrow"/>
        <family val="3"/>
        <charset val="128"/>
        <scheme val="minor"/>
      </rPr>
      <t>そのこだわりを生かして、</t>
    </r>
    <r>
      <rPr>
        <sz val="12"/>
        <color theme="1"/>
        <rFont val="Aptos Narrow"/>
        <family val="2"/>
        <scheme val="minor"/>
      </rPr>
      <t>AI</t>
    </r>
    <r>
      <rPr>
        <sz val="12"/>
        <color theme="1"/>
        <rFont val="Aptos Narrow"/>
        <family val="3"/>
        <charset val="128"/>
        <scheme val="minor"/>
      </rPr>
      <t>に対して「この例外条件はどう処理する？」と正しい初期値（プロンプト）を投げ、壁打ちしながら解を収束させること。</t>
    </r>
    <rPh sb="10" eb="11">
      <t>イ</t>
    </rPh>
    <phoneticPr fontId="8"/>
  </si>
  <si>
    <r>
      <rPr>
        <sz val="12"/>
        <color theme="1"/>
        <rFont val="Aptos Narrow"/>
        <family val="3"/>
        <charset val="128"/>
        <scheme val="minor"/>
      </rPr>
      <t>楽をするために</t>
    </r>
    <r>
      <rPr>
        <sz val="12"/>
        <color theme="1"/>
        <rFont val="Aptos Narrow"/>
        <family val="2"/>
        <scheme val="minor"/>
      </rPr>
      <t>AI</t>
    </r>
    <r>
      <rPr>
        <sz val="12"/>
        <color theme="1"/>
        <rFont val="Aptos Narrow"/>
        <family val="3"/>
        <charset val="128"/>
        <scheme val="minor"/>
      </rPr>
      <t>（道具）を使うのは正しいが、</t>
    </r>
    <r>
      <rPr>
        <sz val="12"/>
        <color theme="1"/>
        <rFont val="Aptos Narrow"/>
        <family val="2"/>
        <scheme val="minor"/>
      </rPr>
      <t>AI</t>
    </r>
    <r>
      <rPr>
        <sz val="12"/>
        <color theme="1"/>
        <rFont val="Aptos Narrow"/>
        <family val="3"/>
        <charset val="128"/>
        <scheme val="minor"/>
      </rPr>
      <t>の吐き出す擬似解を判断できる「ロジックの獲得」と「全探索の視点」を、常に大事にすること。</t>
    </r>
    <rPh sb="18" eb="19">
      <t>タダ</t>
    </rPh>
    <rPh sb="34" eb="36">
      <t>ハンダン</t>
    </rPh>
    <rPh sb="45" eb="47">
      <t>カクトク</t>
    </rPh>
    <rPh sb="59" eb="60">
      <t>ツネ</t>
    </rPh>
    <rPh sb="61" eb="63">
      <t>ダイジ</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</si>
</sst>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scheme val="minor"/>
    </font>
    <font>
      <sz val="11"/>
      <color theme="1"/>
      <name val="Aptos Narrow"/>
      <family val="2"/>
      <charset val="128"/>
      <scheme val="minor"/>
    </font>
    <font>
      <sz val="11"/>
      <color theme="1"/>
      <name val="Aptos Narrow"/>
      <scheme val="minor"/>
    </font>
    <font>
      <sz val="11"/>
      <color theme="1"/>
      <name val="游ゴシック"/>
      <family val="3"/>
      <charset val="128"/>
    </font>
    <font>
      <sz val="11"/>
      <color theme="1"/>
      <name val="Arial"/>
    </font>
    <font>
      <sz val="11"/>
      <color theme="1"/>
      <name val="Aptos Narrow"/>
    </font>
    <font>
      <vertAlign val="subscript"/>
      <sz val="11"/>
      <color theme="1"/>
      <name val="游ゴシック"/>
      <family val="3"/>
      <charset val="128"/>
    </font>
    <font>
      <vertAlign val="superscript"/>
      <sz val="11"/>
      <color theme="1"/>
      <name val="游ゴシック"/>
      <family val="3"/>
      <charset val="128"/>
    </font>
    <font>
      <sz val="6"/>
      <name val="Aptos Narrow"/>
      <family val="3"/>
      <charset val="128"/>
      <scheme val="minor"/>
    </font>
    <font>
      <sz val="11"/>
      <color theme="1"/>
      <name val="Aptos Narrow"/>
      <family val="3"/>
      <charset val="128"/>
      <scheme val="minor"/>
    </font>
    <font>
      <sz val="11"/>
      <color theme="1"/>
      <name val="ＭＳ ゴシック"/>
      <family val="3"/>
      <charset val="128"/>
    </font>
    <font>
      <sz val="11"/>
      <color theme="1"/>
      <name val="Aptos Narrow"/>
      <family val="2"/>
      <scheme val="minor"/>
    </font>
    <font>
      <sz val="11"/>
      <color theme="1"/>
      <name val="游ゴシック"/>
      <family val="2"/>
      <charset val="128"/>
    </font>
    <font>
      <b/>
      <sz val="11"/>
      <color theme="1"/>
      <name val="Aptos Narrow"/>
      <family val="2"/>
      <scheme val="minor"/>
    </font>
    <font>
      <b/>
      <sz val="18"/>
      <color theme="1"/>
      <name val="Aptos Narrow"/>
      <family val="2"/>
      <scheme val="minor"/>
    </font>
    <font>
      <b/>
      <sz val="18"/>
      <color theme="1"/>
      <name val="游ゴシック"/>
      <family val="2"/>
      <charset val="128"/>
    </font>
    <font>
      <b/>
      <sz val="18"/>
      <color theme="1"/>
      <name val="ＭＳ ゴシック"/>
      <family val="3"/>
      <charset val="128"/>
    </font>
    <font>
      <b/>
      <sz val="18"/>
      <color theme="1"/>
      <name val="游ゴシック"/>
      <family val="3"/>
      <charset val="128"/>
    </font>
    <font>
      <b/>
      <sz val="18"/>
      <color theme="1"/>
      <name val="Aptos Narrow"/>
      <family val="3"/>
      <charset val="128"/>
      <scheme val="minor"/>
    </font>
    <font>
      <sz val="11"/>
      <color theme="1"/>
      <name val="Segoe UI Symbol"/>
      <family val="3"/>
    </font>
    <font>
      <sz val="11"/>
      <color theme="1"/>
      <name val="Aptos Narrow"/>
      <family val="3"/>
    </font>
    <font>
      <b/>
      <sz val="16"/>
      <color theme="1"/>
      <name val="Aptos Narrow"/>
      <family val="2"/>
      <scheme val="minor"/>
    </font>
    <font>
      <b/>
      <sz val="16"/>
      <color theme="1"/>
      <name val="游ゴシック"/>
      <family val="2"/>
      <charset val="128"/>
    </font>
    <font>
      <b/>
      <sz val="16"/>
      <color theme="1"/>
      <name val="ＭＳ ゴシック"/>
      <family val="3"/>
      <charset val="128"/>
    </font>
    <font>
      <b/>
      <sz val="16"/>
      <color theme="1"/>
      <name val="游ゴシック"/>
      <family val="3"/>
      <charset val="128"/>
    </font>
    <font>
      <b/>
      <sz val="16"/>
      <color theme="1"/>
      <name val="Aptos Narrow"/>
      <family val="3"/>
      <charset val="128"/>
      <scheme val="minor"/>
    </font>
    <font>
      <sz val="11"/>
      <color theme="1"/>
      <name val="Arial"/>
      <family val="3"/>
    </font>
    <font>
      <sz val="11"/>
      <color theme="1"/>
      <name val="Arial"/>
      <family val="3"/>
      <charset val="128"/>
    </font>
    <font>
      <sz val="11"/>
      <color theme="1"/>
      <name val="ＭＳ Ｐゴシック"/>
      <family val="3"/>
      <charset val="128"/>
    </font>
    <font>
      <sz val="11"/>
      <color theme="1"/>
      <name val="MS UI Gothic"/>
      <family val="3"/>
      <charset val="128"/>
    </font>
    <font>
      <sz val="11"/>
      <color theme="1"/>
      <name val="Aptos Narrow"/>
      <family val="3"/>
      <charset val="128"/>
    </font>
    <font>
      <sz val="11"/>
      <color theme="1"/>
      <name val="Arial"/>
      <family val="2"/>
    </font>
    <font>
      <vertAlign val="superscript"/>
      <sz val="11"/>
      <color theme="1"/>
      <name val="Arial"/>
      <family val="2"/>
    </font>
    <font>
      <sz val="11"/>
      <color theme="1"/>
      <name val="Aptos Narrow"/>
      <family val="2"/>
    </font>
    <font>
      <vertAlign val="superscript"/>
      <sz val="11"/>
      <color theme="1"/>
      <name val="Aptos Narrow"/>
      <family val="3"/>
    </font>
    <font>
      <vertAlign val="superscript"/>
      <sz val="11"/>
      <color theme="1"/>
      <name val="Aptos Narrow"/>
      <family val="2"/>
      <scheme val="minor"/>
    </font>
    <font>
      <b/>
      <sz val="18"/>
      <color theme="1"/>
      <name val="Aptos Narrow"/>
      <family val="3"/>
      <charset val="128"/>
    </font>
    <font>
      <vertAlign val="subscript"/>
      <sz val="11"/>
      <color theme="1"/>
      <name val="Aptos Narrow"/>
      <family val="2"/>
      <scheme val="minor"/>
    </font>
    <font>
      <sz val="11"/>
      <color theme="1"/>
      <name val="ＭＳ Ｐゴシック"/>
      <family val="2"/>
      <charset val="128"/>
    </font>
    <font>
      <vertAlign val="superscript"/>
      <sz val="11"/>
      <color theme="1"/>
      <name val="ＭＳ Ｐゴシック"/>
      <family val="3"/>
      <charset val="128"/>
    </font>
    <font>
      <vertAlign val="superscript"/>
      <sz val="11"/>
      <color theme="1"/>
      <name val="Aptos Narrow"/>
      <family val="2"/>
    </font>
    <font>
      <b/>
      <sz val="12"/>
      <color theme="1"/>
      <name val="Arial"/>
      <family val="2"/>
    </font>
    <font>
      <sz val="12"/>
      <color theme="1"/>
      <name val="Aptos Narrow"/>
      <family val="2"/>
      <scheme val="minor"/>
    </font>
    <font>
      <sz val="12"/>
      <color theme="1"/>
      <name val="Aptos Narrow"/>
      <family val="3"/>
      <charset val="128"/>
      <scheme val="minor"/>
    </font>
    <font>
      <sz val="12"/>
      <color theme="1"/>
      <name val="Aptos Narrow"/>
      <family val="2"/>
      <charset val="128"/>
      <scheme val="minor"/>
    </font>
  </fonts>
  <fills count="3">
    <fill>
      <patternFill patternType="none"/>
    </fill>
    <fill>
      <patternFill patternType="gray125"/>
    </fill>
    <fill>
      <patternFill patternType="solid">
        <fgColor rgb="FFFFFF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diagonalUp="1">
      <left style="thin">
        <color indexed="64"/>
      </left>
      <right/>
      <top/>
      <bottom style="thin">
        <color indexed="64"/>
      </bottom>
      <diagonal style="thin">
        <color indexed="64"/>
      </diagonal>
    </border>
    <border>
      <left/>
      <right/>
      <top style="thin">
        <color indexed="64"/>
      </top>
      <bottom/>
      <diagonal/>
    </border>
    <border diagonalUp="1">
      <left/>
      <right/>
      <top style="thin">
        <color indexed="64"/>
      </top>
      <bottom/>
      <diagonal style="thin">
        <color indexed="64"/>
      </diagonal>
    </border>
    <border diagonalDown="1">
      <left/>
      <right/>
      <top style="thin">
        <color indexed="64"/>
      </top>
      <bottom/>
      <diagonal style="thin">
        <color indexed="64"/>
      </diagonal>
    </border>
    <border>
      <left/>
      <right/>
      <top/>
      <bottom style="thin">
        <color indexed="64"/>
      </bottom>
      <diagonal/>
    </border>
    <border>
      <left style="thin">
        <color indexed="64"/>
      </left>
      <right/>
      <top/>
      <bottom/>
      <diagonal/>
    </border>
    <border diagonalUp="1">
      <left/>
      <right/>
      <top/>
      <bottom/>
      <diagonal style="thin">
        <color indexed="64"/>
      </diagonal>
    </border>
    <border diagonalDown="1">
      <left/>
      <right/>
      <top/>
      <bottom/>
      <diagonal style="thin">
        <color indexed="64"/>
      </diagonal>
    </border>
    <border>
      <left/>
      <right style="thin">
        <color indexed="64"/>
      </right>
      <top/>
      <bottom/>
      <diagonal/>
    </border>
    <border diagonalDown="1">
      <left/>
      <right style="thin">
        <color indexed="64"/>
      </right>
      <top/>
      <bottom/>
      <diagonal style="thin">
        <color indexed="64"/>
      </diagonal>
    </border>
    <border diagonalUp="1">
      <left/>
      <right style="thin">
        <color indexed="64"/>
      </right>
      <top/>
      <bottom/>
      <diagonal style="thin">
        <color indexed="64"/>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9">
    <xf numFmtId="0" fontId="0"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0" fillId="0" borderId="4" xfId="0" applyFont="1" applyBorder="1" applyAlignment="1">
      <alignment vertical="center"/>
    </xf>
    <xf numFmtId="0" fontId="0" fillId="0" borderId="5" xfId="0" applyFont="1" applyBorder="1" applyAlignment="1">
      <alignment vertical="center"/>
    </xf>
    <xf numFmtId="0" fontId="0" fillId="0" borderId="6" xfId="0" applyFont="1" applyBorder="1" applyAlignment="1">
      <alignment vertical="center"/>
    </xf>
    <xf numFmtId="0" fontId="0" fillId="0" borderId="7" xfId="0" applyFont="1" applyBorder="1" applyAlignment="1">
      <alignment vertical="center"/>
    </xf>
    <xf numFmtId="0" fontId="0" fillId="0" borderId="8" xfId="0" applyFont="1" applyBorder="1" applyAlignment="1">
      <alignment vertical="center"/>
    </xf>
    <xf numFmtId="0" fontId="0" fillId="0" borderId="9" xfId="0" applyFont="1" applyBorder="1" applyAlignment="1">
      <alignment vertical="center"/>
    </xf>
    <xf numFmtId="0" fontId="0" fillId="0" borderId="10" xfId="0" applyFont="1" applyBorder="1" applyAlignment="1">
      <alignment vertical="center"/>
    </xf>
    <xf numFmtId="0" fontId="0" fillId="0" borderId="11" xfId="0" applyFont="1" applyBorder="1" applyAlignment="1">
      <alignment vertical="center"/>
    </xf>
    <xf numFmtId="0" fontId="0" fillId="0" borderId="0" xfId="0" applyFont="1" applyBorder="1" applyAlignment="1">
      <alignment vertical="center"/>
    </xf>
    <xf numFmtId="0" fontId="0" fillId="0" borderId="12" xfId="0" applyFont="1" applyBorder="1" applyAlignment="1">
      <alignment vertical="center"/>
    </xf>
    <xf numFmtId="0" fontId="0" fillId="0" borderId="13" xfId="0" applyFont="1" applyBorder="1" applyAlignment="1">
      <alignment vertical="center"/>
    </xf>
    <xf numFmtId="0" fontId="0" fillId="0" borderId="14" xfId="0" applyFont="1" applyBorder="1" applyAlignment="1">
      <alignment vertical="center"/>
    </xf>
    <xf numFmtId="0" fontId="0" fillId="0" borderId="15" xfId="0" applyFont="1" applyBorder="1" applyAlignment="1">
      <alignment vertical="center"/>
    </xf>
    <xf numFmtId="0" fontId="0" fillId="0" borderId="16" xfId="0" applyFont="1" applyBorder="1" applyAlignment="1">
      <alignment vertical="center"/>
    </xf>
    <xf numFmtId="0" fontId="11"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8" fillId="0" borderId="0" xfId="0" applyFont="1" applyAlignment="1">
      <alignment vertical="center"/>
    </xf>
    <xf numFmtId="0" fontId="10" fillId="0" borderId="0" xfId="0" applyFont="1" applyAlignment="1">
      <alignment vertical="center"/>
    </xf>
    <xf numFmtId="0" fontId="21" fillId="0" borderId="0" xfId="0" applyFont="1" applyAlignment="1">
      <alignment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30" fillId="0" borderId="0" xfId="0" applyFont="1" applyAlignment="1">
      <alignment vertical="center"/>
    </xf>
    <xf numFmtId="0" fontId="16" fillId="0" borderId="0" xfId="0" applyFont="1" applyAlignment="1">
      <alignment vertical="center"/>
    </xf>
    <xf numFmtId="0" fontId="31" fillId="0" borderId="0" xfId="0" applyFont="1" applyAlignment="1">
      <alignment vertical="center"/>
    </xf>
    <xf numFmtId="0" fontId="33" fillId="0" borderId="0" xfId="0" applyFont="1" applyAlignment="1">
      <alignment vertical="center"/>
    </xf>
    <xf numFmtId="0" fontId="11" fillId="0" borderId="0" xfId="0" applyFont="1" applyAlignment="1">
      <alignment horizontal="right" vertical="center"/>
    </xf>
    <xf numFmtId="0" fontId="11" fillId="0" borderId="0" xfId="0" quotePrefix="1" applyFont="1" applyAlignment="1">
      <alignment vertical="center"/>
    </xf>
    <xf numFmtId="0" fontId="11" fillId="0" borderId="0" xfId="0" quotePrefix="1" applyFont="1" applyAlignment="1">
      <alignment horizontal="right" vertical="center"/>
    </xf>
    <xf numFmtId="0" fontId="28" fillId="0" borderId="2" xfId="0" applyFont="1" applyBorder="1" applyAlignment="1">
      <alignment vertical="center"/>
    </xf>
    <xf numFmtId="0" fontId="0" fillId="0" borderId="2" xfId="0" applyFont="1" applyBorder="1" applyAlignment="1">
      <alignment vertical="center"/>
    </xf>
    <xf numFmtId="0" fontId="28" fillId="2" borderId="2" xfId="0" applyFont="1" applyFill="1" applyBorder="1" applyAlignment="1">
      <alignment vertical="center"/>
    </xf>
    <xf numFmtId="0" fontId="0" fillId="2" borderId="2" xfId="0" applyFont="1" applyFill="1" applyBorder="1" applyAlignment="1">
      <alignment vertical="center"/>
    </xf>
    <xf numFmtId="0" fontId="36" fillId="0" borderId="0" xfId="0" applyFont="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0" xfId="0" applyFont="1" applyBorder="1" applyAlignment="1">
      <alignment vertical="center"/>
    </xf>
    <xf numFmtId="0" fontId="3" fillId="0" borderId="2" xfId="0" applyFont="1" applyBorder="1" applyAlignment="1">
      <alignment vertical="center"/>
    </xf>
    <xf numFmtId="0" fontId="10" fillId="0" borderId="2" xfId="0" applyFont="1" applyBorder="1" applyAlignment="1">
      <alignment vertical="center"/>
    </xf>
    <xf numFmtId="0" fontId="11" fillId="0" borderId="0" xfId="0" applyFont="1" applyBorder="1" applyAlignment="1">
      <alignment vertical="center"/>
    </xf>
    <xf numFmtId="0" fontId="17" fillId="0" borderId="0" xfId="0" applyFont="1" applyAlignment="1">
      <alignment vertical="center"/>
    </xf>
    <xf numFmtId="0" fontId="20" fillId="0" borderId="0" xfId="0" applyFont="1" applyAlignment="1">
      <alignment vertical="center"/>
    </xf>
    <xf numFmtId="0" fontId="2" fillId="0" borderId="10" xfId="0" applyFont="1" applyBorder="1" applyAlignment="1">
      <alignment vertical="center"/>
    </xf>
    <xf numFmtId="0" fontId="2" fillId="0" borderId="3" xfId="0" applyFont="1" applyBorder="1" applyAlignment="1">
      <alignment vertical="center"/>
    </xf>
    <xf numFmtId="0" fontId="2" fillId="0" borderId="11" xfId="0" applyFont="1" applyBorder="1" applyAlignment="1">
      <alignment vertical="center"/>
    </xf>
    <xf numFmtId="0" fontId="28" fillId="0" borderId="11" xfId="0" applyFont="1" applyBorder="1" applyAlignment="1">
      <alignment vertical="center"/>
    </xf>
    <xf numFmtId="0" fontId="2" fillId="0" borderId="0" xfId="0" applyFont="1" applyBorder="1" applyAlignment="1">
      <alignment vertical="center"/>
    </xf>
    <xf numFmtId="0" fontId="10" fillId="0" borderId="11" xfId="0" applyFont="1" applyBorder="1" applyAlignment="1">
      <alignment vertical="center"/>
    </xf>
    <xf numFmtId="0" fontId="10" fillId="0" borderId="0" xfId="0" applyFont="1" applyBorder="1" applyAlignment="1">
      <alignment vertical="center"/>
    </xf>
    <xf numFmtId="0" fontId="38" fillId="0" borderId="11" xfId="0" applyFont="1" applyBorder="1" applyAlignment="1">
      <alignment vertical="center"/>
    </xf>
    <xf numFmtId="0" fontId="38" fillId="0" borderId="0" xfId="0" applyFont="1" applyAlignment="1">
      <alignment vertical="center"/>
    </xf>
    <xf numFmtId="0" fontId="38" fillId="0" borderId="0" xfId="0" applyFont="1" applyBorder="1" applyAlignment="1">
      <alignment vertical="center"/>
    </xf>
    <xf numFmtId="0" fontId="28" fillId="0" borderId="0" xfId="0" applyFont="1" applyBorder="1" applyAlignment="1">
      <alignment vertical="center"/>
    </xf>
    <xf numFmtId="0" fontId="11" fillId="0" borderId="2" xfId="0" applyFont="1" applyBorder="1" applyAlignment="1">
      <alignment vertical="center"/>
    </xf>
    <xf numFmtId="0" fontId="11" fillId="0" borderId="14" xfId="0" applyFont="1" applyBorder="1" applyAlignment="1">
      <alignment vertical="center"/>
    </xf>
    <xf numFmtId="0" fontId="38" fillId="0" borderId="19" xfId="0" applyFont="1" applyBorder="1" applyAlignment="1">
      <alignment vertical="center"/>
    </xf>
    <xf numFmtId="0" fontId="11" fillId="0" borderId="10" xfId="0" applyFont="1" applyBorder="1" applyAlignment="1">
      <alignment vertical="center"/>
    </xf>
    <xf numFmtId="0" fontId="11" fillId="0" borderId="5" xfId="0" applyFont="1" applyBorder="1" applyAlignment="1">
      <alignment vertical="center"/>
    </xf>
    <xf numFmtId="0" fontId="11" fillId="0" borderId="11" xfId="0" applyFont="1" applyBorder="1" applyAlignment="1">
      <alignment vertical="center"/>
    </xf>
    <xf numFmtId="0" fontId="10" fillId="0" borderId="20" xfId="0" applyFont="1" applyBorder="1" applyAlignment="1">
      <alignment vertical="center"/>
    </xf>
    <xf numFmtId="0" fontId="0" fillId="0" borderId="21" xfId="0" applyFont="1" applyBorder="1" applyAlignment="1">
      <alignment vertical="center"/>
    </xf>
    <xf numFmtId="0" fontId="0" fillId="0" borderId="22" xfId="0" applyFont="1" applyBorder="1" applyAlignment="1">
      <alignment vertical="center"/>
    </xf>
    <xf numFmtId="0" fontId="28" fillId="0" borderId="20" xfId="0" applyFont="1" applyBorder="1" applyAlignment="1">
      <alignment vertical="center"/>
    </xf>
    <xf numFmtId="0" fontId="11" fillId="0" borderId="0" xfId="0" applyFont="1" applyAlignment="1">
      <alignment horizontal="center" vertical="center"/>
    </xf>
    <xf numFmtId="0" fontId="38" fillId="0" borderId="0" xfId="0" applyFont="1" applyAlignment="1">
      <alignment horizontal="center" vertical="center"/>
    </xf>
    <xf numFmtId="0" fontId="41" fillId="0" borderId="0" xfId="0" applyFont="1" applyAlignment="1">
      <alignment vertical="center"/>
    </xf>
    <xf numFmtId="0" fontId="42" fillId="0" borderId="0" xfId="0" applyFont="1" applyAlignment="1">
      <alignment vertical="center"/>
    </xf>
    <xf numFmtId="0" fontId="42" fillId="0" borderId="0" xfId="0" applyFont="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15</xdr:col>
      <xdr:colOff>152400</xdr:colOff>
      <xdr:row>4</xdr:row>
      <xdr:rowOff>9525</xdr:rowOff>
    </xdr:from>
    <xdr:ext cx="257175" cy="257175"/>
    <xdr:sp macro="" textlink="">
      <xdr:nvSpPr>
        <xdr:cNvPr id="3" name="Shape 3">
          <a:extLst>
            <a:ext uri="{FF2B5EF4-FFF2-40B4-BE49-F238E27FC236}">
              <a16:creationId xmlns:a16="http://schemas.microsoft.com/office/drawing/2014/main" id="{00000000-0008-0000-0400-000003000000}"/>
            </a:ext>
          </a:extLst>
        </xdr:cNvPr>
        <xdr:cNvSpPr/>
      </xdr:nvSpPr>
      <xdr:spPr>
        <a:xfrm>
          <a:off x="7724775"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352425</xdr:colOff>
      <xdr:row>4</xdr:row>
      <xdr:rowOff>0</xdr:rowOff>
    </xdr:from>
    <xdr:ext cx="257175" cy="257175"/>
    <xdr:sp macro="" textlink="">
      <xdr:nvSpPr>
        <xdr:cNvPr id="5" name="Shape 5">
          <a:extLst>
            <a:ext uri="{FF2B5EF4-FFF2-40B4-BE49-F238E27FC236}">
              <a16:creationId xmlns:a16="http://schemas.microsoft.com/office/drawing/2014/main" id="{00000000-0008-0000-0400-000005000000}"/>
            </a:ext>
          </a:extLst>
        </xdr:cNvPr>
        <xdr:cNvSpPr/>
      </xdr:nvSpPr>
      <xdr:spPr>
        <a:xfrm>
          <a:off x="8429625" y="9525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200025</xdr:colOff>
      <xdr:row>4</xdr:row>
      <xdr:rowOff>9525</xdr:rowOff>
    </xdr:from>
    <xdr:ext cx="257175" cy="257175"/>
    <xdr:sp macro="" textlink="">
      <xdr:nvSpPr>
        <xdr:cNvPr id="2" name="Shape 5">
          <a:extLst>
            <a:ext uri="{FF2B5EF4-FFF2-40B4-BE49-F238E27FC236}">
              <a16:creationId xmlns:a16="http://schemas.microsoft.com/office/drawing/2014/main" id="{00000000-0008-0000-0400-000002000000}"/>
            </a:ext>
          </a:extLst>
        </xdr:cNvPr>
        <xdr:cNvSpPr/>
      </xdr:nvSpPr>
      <xdr:spPr>
        <a:xfrm>
          <a:off x="8782050"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114300</xdr:colOff>
      <xdr:row>3</xdr:row>
      <xdr:rowOff>228600</xdr:rowOff>
    </xdr:from>
    <xdr:ext cx="257175" cy="257175"/>
    <xdr:sp macro="" textlink="">
      <xdr:nvSpPr>
        <xdr:cNvPr id="7" name="Shape 6">
          <a:extLst>
            <a:ext uri="{FF2B5EF4-FFF2-40B4-BE49-F238E27FC236}">
              <a16:creationId xmlns:a16="http://schemas.microsoft.com/office/drawing/2014/main" id="{00000000-0008-0000-0400-000007000000}"/>
            </a:ext>
          </a:extLst>
        </xdr:cNvPr>
        <xdr:cNvSpPr/>
      </xdr:nvSpPr>
      <xdr:spPr>
        <a:xfrm>
          <a:off x="10715625" y="942975"/>
          <a:ext cx="257175" cy="25717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23</xdr:col>
      <xdr:colOff>-9525</xdr:colOff>
      <xdr:row>4</xdr:row>
      <xdr:rowOff>-9525</xdr:rowOff>
    </xdr:from>
    <xdr:ext cx="257175" cy="257175"/>
    <xdr:sp macro="" textlink="">
      <xdr:nvSpPr>
        <xdr:cNvPr id="8" name="Shape 6">
          <a:extLst>
            <a:ext uri="{FF2B5EF4-FFF2-40B4-BE49-F238E27FC236}">
              <a16:creationId xmlns:a16="http://schemas.microsoft.com/office/drawing/2014/main" id="{00000000-0008-0000-0400-000008000000}"/>
            </a:ext>
          </a:extLst>
        </xdr:cNvPr>
        <xdr:cNvSpPr/>
      </xdr:nvSpPr>
      <xdr:spPr>
        <a:xfrm>
          <a:off x="5226938" y="3660938"/>
          <a:ext cx="238125" cy="23812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24</xdr:col>
      <xdr:colOff>247650</xdr:colOff>
      <xdr:row>4</xdr:row>
      <xdr:rowOff>0</xdr:rowOff>
    </xdr:from>
    <xdr:ext cx="257175" cy="257175"/>
    <xdr:sp macro="" textlink="">
      <xdr:nvSpPr>
        <xdr:cNvPr id="10" name="Shape 8">
          <a:extLst>
            <a:ext uri="{FF2B5EF4-FFF2-40B4-BE49-F238E27FC236}">
              <a16:creationId xmlns:a16="http://schemas.microsoft.com/office/drawing/2014/main" id="{00000000-0008-0000-0400-00000A000000}"/>
            </a:ext>
          </a:extLst>
        </xdr:cNvPr>
        <xdr:cNvSpPr/>
      </xdr:nvSpPr>
      <xdr:spPr>
        <a:xfrm>
          <a:off x="5226938" y="3660938"/>
          <a:ext cx="238125" cy="23812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26</xdr:col>
      <xdr:colOff>-9525</xdr:colOff>
      <xdr:row>4</xdr:row>
      <xdr:rowOff>-9525</xdr:rowOff>
    </xdr:from>
    <xdr:ext cx="257175" cy="257175"/>
    <xdr:sp macro="" textlink="">
      <xdr:nvSpPr>
        <xdr:cNvPr id="11" name="Shape 8">
          <a:extLst>
            <a:ext uri="{FF2B5EF4-FFF2-40B4-BE49-F238E27FC236}">
              <a16:creationId xmlns:a16="http://schemas.microsoft.com/office/drawing/2014/main" id="{00000000-0008-0000-0400-00000B000000}"/>
            </a:ext>
          </a:extLst>
        </xdr:cNvPr>
        <xdr:cNvSpPr/>
      </xdr:nvSpPr>
      <xdr:spPr>
        <a:xfrm>
          <a:off x="5226938" y="3660938"/>
          <a:ext cx="238125" cy="23812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25</xdr:col>
      <xdr:colOff>95250</xdr:colOff>
      <xdr:row>4</xdr:row>
      <xdr:rowOff>0</xdr:rowOff>
    </xdr:from>
    <xdr:ext cx="257175" cy="257175"/>
    <xdr:sp macro="" textlink="">
      <xdr:nvSpPr>
        <xdr:cNvPr id="13" name="Shape 8">
          <a:extLst>
            <a:ext uri="{FF2B5EF4-FFF2-40B4-BE49-F238E27FC236}">
              <a16:creationId xmlns:a16="http://schemas.microsoft.com/office/drawing/2014/main" id="{00000000-0008-0000-0400-00000D000000}"/>
            </a:ext>
          </a:extLst>
        </xdr:cNvPr>
        <xdr:cNvSpPr/>
      </xdr:nvSpPr>
      <xdr:spPr>
        <a:xfrm>
          <a:off x="5226938" y="3660938"/>
          <a:ext cx="238125" cy="23812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476250</xdr:colOff>
      <xdr:row>3</xdr:row>
      <xdr:rowOff>85725</xdr:rowOff>
    </xdr:from>
    <xdr:ext cx="38100" cy="571500"/>
    <xdr:grpSp>
      <xdr:nvGrpSpPr>
        <xdr:cNvPr id="14" name="Shape 2">
          <a:extLst>
            <a:ext uri="{FF2B5EF4-FFF2-40B4-BE49-F238E27FC236}">
              <a16:creationId xmlns:a16="http://schemas.microsoft.com/office/drawing/2014/main" id="{00000000-0008-0000-0400-00000E000000}"/>
            </a:ext>
          </a:extLst>
        </xdr:cNvPr>
        <xdr:cNvGrpSpPr/>
      </xdr:nvGrpSpPr>
      <xdr:grpSpPr>
        <a:xfrm>
          <a:off x="8048625" y="800100"/>
          <a:ext cx="38100" cy="571500"/>
          <a:chOff x="5346000" y="3494250"/>
          <a:chExt cx="0" cy="571500"/>
        </a:xfrm>
      </xdr:grpSpPr>
      <xdr:cxnSp macro="">
        <xdr:nvCxnSpPr>
          <xdr:cNvPr id="15" name="Shape 9">
            <a:extLst>
              <a:ext uri="{FF2B5EF4-FFF2-40B4-BE49-F238E27FC236}">
                <a16:creationId xmlns:a16="http://schemas.microsoft.com/office/drawing/2014/main" id="{00000000-0008-0000-0400-00000F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95250</xdr:colOff>
      <xdr:row>3</xdr:row>
      <xdr:rowOff>95250</xdr:rowOff>
    </xdr:from>
    <xdr:ext cx="38100" cy="571500"/>
    <xdr:grpSp>
      <xdr:nvGrpSpPr>
        <xdr:cNvPr id="16" name="Shape 2">
          <a:extLst>
            <a:ext uri="{FF2B5EF4-FFF2-40B4-BE49-F238E27FC236}">
              <a16:creationId xmlns:a16="http://schemas.microsoft.com/office/drawing/2014/main" id="{00000000-0008-0000-0400-000010000000}"/>
            </a:ext>
          </a:extLst>
        </xdr:cNvPr>
        <xdr:cNvGrpSpPr/>
      </xdr:nvGrpSpPr>
      <xdr:grpSpPr>
        <a:xfrm>
          <a:off x="7667625" y="809625"/>
          <a:ext cx="38100" cy="571500"/>
          <a:chOff x="5346000" y="3494250"/>
          <a:chExt cx="0" cy="571500"/>
        </a:xfrm>
      </xdr:grpSpPr>
      <xdr:cxnSp macro="">
        <xdr:nvCxnSpPr>
          <xdr:cNvPr id="17" name="Shape 9">
            <a:extLst>
              <a:ext uri="{FF2B5EF4-FFF2-40B4-BE49-F238E27FC236}">
                <a16:creationId xmlns:a16="http://schemas.microsoft.com/office/drawing/2014/main" id="{00000000-0008-0000-0400-000011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304800</xdr:colOff>
      <xdr:row>3</xdr:row>
      <xdr:rowOff>95250</xdr:rowOff>
    </xdr:from>
    <xdr:ext cx="38100" cy="571500"/>
    <xdr:grpSp>
      <xdr:nvGrpSpPr>
        <xdr:cNvPr id="18" name="Shape 2">
          <a:extLst>
            <a:ext uri="{FF2B5EF4-FFF2-40B4-BE49-F238E27FC236}">
              <a16:creationId xmlns:a16="http://schemas.microsoft.com/office/drawing/2014/main" id="{00000000-0008-0000-0400-000012000000}"/>
            </a:ext>
          </a:extLst>
        </xdr:cNvPr>
        <xdr:cNvGrpSpPr/>
      </xdr:nvGrpSpPr>
      <xdr:grpSpPr>
        <a:xfrm>
          <a:off x="8382000" y="809625"/>
          <a:ext cx="38100" cy="571500"/>
          <a:chOff x="5346000" y="3494250"/>
          <a:chExt cx="0" cy="571500"/>
        </a:xfrm>
      </xdr:grpSpPr>
      <xdr:cxnSp macro="">
        <xdr:nvCxnSpPr>
          <xdr:cNvPr id="19" name="Shape 9">
            <a:extLst>
              <a:ext uri="{FF2B5EF4-FFF2-40B4-BE49-F238E27FC236}">
                <a16:creationId xmlns:a16="http://schemas.microsoft.com/office/drawing/2014/main" id="{00000000-0008-0000-0400-000013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142875</xdr:colOff>
      <xdr:row>3</xdr:row>
      <xdr:rowOff>114300</xdr:rowOff>
    </xdr:from>
    <xdr:ext cx="38100" cy="571500"/>
    <xdr:grpSp>
      <xdr:nvGrpSpPr>
        <xdr:cNvPr id="20" name="Shape 2">
          <a:extLst>
            <a:ext uri="{FF2B5EF4-FFF2-40B4-BE49-F238E27FC236}">
              <a16:creationId xmlns:a16="http://schemas.microsoft.com/office/drawing/2014/main" id="{00000000-0008-0000-0400-000014000000}"/>
            </a:ext>
          </a:extLst>
        </xdr:cNvPr>
        <xdr:cNvGrpSpPr/>
      </xdr:nvGrpSpPr>
      <xdr:grpSpPr>
        <a:xfrm>
          <a:off x="8724900" y="828675"/>
          <a:ext cx="38100" cy="571500"/>
          <a:chOff x="5346000" y="3494250"/>
          <a:chExt cx="0" cy="571500"/>
        </a:xfrm>
      </xdr:grpSpPr>
      <xdr:cxnSp macro="">
        <xdr:nvCxnSpPr>
          <xdr:cNvPr id="21" name="Shape 9">
            <a:extLst>
              <a:ext uri="{FF2B5EF4-FFF2-40B4-BE49-F238E27FC236}">
                <a16:creationId xmlns:a16="http://schemas.microsoft.com/office/drawing/2014/main" id="{00000000-0008-0000-0400-000015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485775</xdr:colOff>
      <xdr:row>3</xdr:row>
      <xdr:rowOff>95250</xdr:rowOff>
    </xdr:from>
    <xdr:ext cx="38100" cy="571500"/>
    <xdr:grpSp>
      <xdr:nvGrpSpPr>
        <xdr:cNvPr id="22" name="Shape 2">
          <a:extLst>
            <a:ext uri="{FF2B5EF4-FFF2-40B4-BE49-F238E27FC236}">
              <a16:creationId xmlns:a16="http://schemas.microsoft.com/office/drawing/2014/main" id="{00000000-0008-0000-0400-000016000000}"/>
            </a:ext>
          </a:extLst>
        </xdr:cNvPr>
        <xdr:cNvGrpSpPr/>
      </xdr:nvGrpSpPr>
      <xdr:grpSpPr>
        <a:xfrm>
          <a:off x="9067800" y="809625"/>
          <a:ext cx="38100" cy="571500"/>
          <a:chOff x="5346000" y="3494250"/>
          <a:chExt cx="0" cy="571500"/>
        </a:xfrm>
      </xdr:grpSpPr>
      <xdr:cxnSp macro="">
        <xdr:nvCxnSpPr>
          <xdr:cNvPr id="23" name="Shape 9">
            <a:extLst>
              <a:ext uri="{FF2B5EF4-FFF2-40B4-BE49-F238E27FC236}">
                <a16:creationId xmlns:a16="http://schemas.microsoft.com/office/drawing/2014/main" id="{00000000-0008-0000-0400-000017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22</xdr:col>
      <xdr:colOff>38100</xdr:colOff>
      <xdr:row>3</xdr:row>
      <xdr:rowOff>104775</xdr:rowOff>
    </xdr:from>
    <xdr:ext cx="38100" cy="571500"/>
    <xdr:grpSp>
      <xdr:nvGrpSpPr>
        <xdr:cNvPr id="26" name="Shape 2">
          <a:extLst>
            <a:ext uri="{FF2B5EF4-FFF2-40B4-BE49-F238E27FC236}">
              <a16:creationId xmlns:a16="http://schemas.microsoft.com/office/drawing/2014/main" id="{00000000-0008-0000-0400-00001A000000}"/>
            </a:ext>
          </a:extLst>
        </xdr:cNvPr>
        <xdr:cNvGrpSpPr/>
      </xdr:nvGrpSpPr>
      <xdr:grpSpPr>
        <a:xfrm>
          <a:off x="11144250" y="819150"/>
          <a:ext cx="38100" cy="571500"/>
          <a:chOff x="5346000" y="3494250"/>
          <a:chExt cx="0" cy="571500"/>
        </a:xfrm>
      </xdr:grpSpPr>
      <xdr:cxnSp macro="">
        <xdr:nvCxnSpPr>
          <xdr:cNvPr id="27" name="Shape 9">
            <a:extLst>
              <a:ext uri="{FF2B5EF4-FFF2-40B4-BE49-F238E27FC236}">
                <a16:creationId xmlns:a16="http://schemas.microsoft.com/office/drawing/2014/main" id="{00000000-0008-0000-0400-00001B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22</xdr:col>
      <xdr:colOff>447675</xdr:colOff>
      <xdr:row>3</xdr:row>
      <xdr:rowOff>95250</xdr:rowOff>
    </xdr:from>
    <xdr:ext cx="38100" cy="571500"/>
    <xdr:grpSp>
      <xdr:nvGrpSpPr>
        <xdr:cNvPr id="28" name="Shape 2">
          <a:extLst>
            <a:ext uri="{FF2B5EF4-FFF2-40B4-BE49-F238E27FC236}">
              <a16:creationId xmlns:a16="http://schemas.microsoft.com/office/drawing/2014/main" id="{00000000-0008-0000-0400-00001C000000}"/>
            </a:ext>
          </a:extLst>
        </xdr:cNvPr>
        <xdr:cNvGrpSpPr/>
      </xdr:nvGrpSpPr>
      <xdr:grpSpPr>
        <a:xfrm>
          <a:off x="11553825" y="809625"/>
          <a:ext cx="38100" cy="571500"/>
          <a:chOff x="5346000" y="3494250"/>
          <a:chExt cx="0" cy="571500"/>
        </a:xfrm>
      </xdr:grpSpPr>
      <xdr:cxnSp macro="">
        <xdr:nvCxnSpPr>
          <xdr:cNvPr id="29" name="Shape 9">
            <a:extLst>
              <a:ext uri="{FF2B5EF4-FFF2-40B4-BE49-F238E27FC236}">
                <a16:creationId xmlns:a16="http://schemas.microsoft.com/office/drawing/2014/main" id="{00000000-0008-0000-0400-00001D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23</xdr:col>
      <xdr:colOff>323850</xdr:colOff>
      <xdr:row>3</xdr:row>
      <xdr:rowOff>104775</xdr:rowOff>
    </xdr:from>
    <xdr:ext cx="38100" cy="571500"/>
    <xdr:grpSp>
      <xdr:nvGrpSpPr>
        <xdr:cNvPr id="30" name="Shape 2">
          <a:extLst>
            <a:ext uri="{FF2B5EF4-FFF2-40B4-BE49-F238E27FC236}">
              <a16:creationId xmlns:a16="http://schemas.microsoft.com/office/drawing/2014/main" id="{00000000-0008-0000-0400-00001E000000}"/>
            </a:ext>
          </a:extLst>
        </xdr:cNvPr>
        <xdr:cNvGrpSpPr/>
      </xdr:nvGrpSpPr>
      <xdr:grpSpPr>
        <a:xfrm>
          <a:off x="11934825" y="819150"/>
          <a:ext cx="38100" cy="571500"/>
          <a:chOff x="5346000" y="3494250"/>
          <a:chExt cx="0" cy="571500"/>
        </a:xfrm>
      </xdr:grpSpPr>
      <xdr:cxnSp macro="">
        <xdr:nvCxnSpPr>
          <xdr:cNvPr id="31" name="Shape 9">
            <a:extLst>
              <a:ext uri="{FF2B5EF4-FFF2-40B4-BE49-F238E27FC236}">
                <a16:creationId xmlns:a16="http://schemas.microsoft.com/office/drawing/2014/main" id="{00000000-0008-0000-0400-00001F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24</xdr:col>
      <xdr:colOff>171450</xdr:colOff>
      <xdr:row>3</xdr:row>
      <xdr:rowOff>104775</xdr:rowOff>
    </xdr:from>
    <xdr:ext cx="38100" cy="571500"/>
    <xdr:grpSp>
      <xdr:nvGrpSpPr>
        <xdr:cNvPr id="32" name="Shape 2">
          <a:extLst>
            <a:ext uri="{FF2B5EF4-FFF2-40B4-BE49-F238E27FC236}">
              <a16:creationId xmlns:a16="http://schemas.microsoft.com/office/drawing/2014/main" id="{00000000-0008-0000-0400-000020000000}"/>
            </a:ext>
          </a:extLst>
        </xdr:cNvPr>
        <xdr:cNvGrpSpPr/>
      </xdr:nvGrpSpPr>
      <xdr:grpSpPr>
        <a:xfrm>
          <a:off x="12287250" y="819150"/>
          <a:ext cx="38100" cy="571500"/>
          <a:chOff x="5346000" y="3494250"/>
          <a:chExt cx="0" cy="571500"/>
        </a:xfrm>
      </xdr:grpSpPr>
      <xdr:cxnSp macro="">
        <xdr:nvCxnSpPr>
          <xdr:cNvPr id="33" name="Shape 9">
            <a:extLst>
              <a:ext uri="{FF2B5EF4-FFF2-40B4-BE49-F238E27FC236}">
                <a16:creationId xmlns:a16="http://schemas.microsoft.com/office/drawing/2014/main" id="{00000000-0008-0000-0400-000021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25</xdr:col>
      <xdr:colOff>38100</xdr:colOff>
      <xdr:row>3</xdr:row>
      <xdr:rowOff>123825</xdr:rowOff>
    </xdr:from>
    <xdr:ext cx="38100" cy="571500"/>
    <xdr:grpSp>
      <xdr:nvGrpSpPr>
        <xdr:cNvPr id="34" name="Shape 2">
          <a:extLst>
            <a:ext uri="{FF2B5EF4-FFF2-40B4-BE49-F238E27FC236}">
              <a16:creationId xmlns:a16="http://schemas.microsoft.com/office/drawing/2014/main" id="{00000000-0008-0000-0400-000022000000}"/>
            </a:ext>
          </a:extLst>
        </xdr:cNvPr>
        <xdr:cNvGrpSpPr/>
      </xdr:nvGrpSpPr>
      <xdr:grpSpPr>
        <a:xfrm>
          <a:off x="12658725" y="838200"/>
          <a:ext cx="38100" cy="571500"/>
          <a:chOff x="5346000" y="3494250"/>
          <a:chExt cx="0" cy="571500"/>
        </a:xfrm>
      </xdr:grpSpPr>
      <xdr:cxnSp macro="">
        <xdr:nvCxnSpPr>
          <xdr:cNvPr id="35" name="Shape 9">
            <a:extLst>
              <a:ext uri="{FF2B5EF4-FFF2-40B4-BE49-F238E27FC236}">
                <a16:creationId xmlns:a16="http://schemas.microsoft.com/office/drawing/2014/main" id="{00000000-0008-0000-0400-000023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25</xdr:col>
      <xdr:colOff>447675</xdr:colOff>
      <xdr:row>3</xdr:row>
      <xdr:rowOff>123825</xdr:rowOff>
    </xdr:from>
    <xdr:ext cx="38100" cy="571500"/>
    <xdr:grpSp>
      <xdr:nvGrpSpPr>
        <xdr:cNvPr id="36" name="Shape 2">
          <a:extLst>
            <a:ext uri="{FF2B5EF4-FFF2-40B4-BE49-F238E27FC236}">
              <a16:creationId xmlns:a16="http://schemas.microsoft.com/office/drawing/2014/main" id="{00000000-0008-0000-0400-000024000000}"/>
            </a:ext>
          </a:extLst>
        </xdr:cNvPr>
        <xdr:cNvGrpSpPr/>
      </xdr:nvGrpSpPr>
      <xdr:grpSpPr>
        <a:xfrm>
          <a:off x="13068300" y="838200"/>
          <a:ext cx="38100" cy="571500"/>
          <a:chOff x="5346000" y="3494250"/>
          <a:chExt cx="0" cy="571500"/>
        </a:xfrm>
      </xdr:grpSpPr>
      <xdr:cxnSp macro="">
        <xdr:nvCxnSpPr>
          <xdr:cNvPr id="37" name="Shape 9">
            <a:extLst>
              <a:ext uri="{FF2B5EF4-FFF2-40B4-BE49-F238E27FC236}">
                <a16:creationId xmlns:a16="http://schemas.microsoft.com/office/drawing/2014/main" id="{00000000-0008-0000-0400-000025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26</xdr:col>
      <xdr:colOff>342900</xdr:colOff>
      <xdr:row>3</xdr:row>
      <xdr:rowOff>114300</xdr:rowOff>
    </xdr:from>
    <xdr:ext cx="38100" cy="571500"/>
    <xdr:grpSp>
      <xdr:nvGrpSpPr>
        <xdr:cNvPr id="38" name="Shape 2">
          <a:extLst>
            <a:ext uri="{FF2B5EF4-FFF2-40B4-BE49-F238E27FC236}">
              <a16:creationId xmlns:a16="http://schemas.microsoft.com/office/drawing/2014/main" id="{00000000-0008-0000-0400-000026000000}"/>
            </a:ext>
          </a:extLst>
        </xdr:cNvPr>
        <xdr:cNvGrpSpPr/>
      </xdr:nvGrpSpPr>
      <xdr:grpSpPr>
        <a:xfrm>
          <a:off x="13468350" y="828675"/>
          <a:ext cx="38100" cy="571500"/>
          <a:chOff x="5346000" y="3494250"/>
          <a:chExt cx="0" cy="571500"/>
        </a:xfrm>
      </xdr:grpSpPr>
      <xdr:cxnSp macro="">
        <xdr:nvCxnSpPr>
          <xdr:cNvPr id="39" name="Shape 9">
            <a:extLst>
              <a:ext uri="{FF2B5EF4-FFF2-40B4-BE49-F238E27FC236}">
                <a16:creationId xmlns:a16="http://schemas.microsoft.com/office/drawing/2014/main" id="{00000000-0008-0000-0400-000027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27</xdr:col>
      <xdr:colOff>190500</xdr:colOff>
      <xdr:row>3</xdr:row>
      <xdr:rowOff>114300</xdr:rowOff>
    </xdr:from>
    <xdr:ext cx="38100" cy="571500"/>
    <xdr:grpSp>
      <xdr:nvGrpSpPr>
        <xdr:cNvPr id="40" name="Shape 2">
          <a:extLst>
            <a:ext uri="{FF2B5EF4-FFF2-40B4-BE49-F238E27FC236}">
              <a16:creationId xmlns:a16="http://schemas.microsoft.com/office/drawing/2014/main" id="{00000000-0008-0000-0400-000028000000}"/>
            </a:ext>
          </a:extLst>
        </xdr:cNvPr>
        <xdr:cNvGrpSpPr/>
      </xdr:nvGrpSpPr>
      <xdr:grpSpPr>
        <a:xfrm>
          <a:off x="13820775" y="828675"/>
          <a:ext cx="38100" cy="571500"/>
          <a:chOff x="5346000" y="3494250"/>
          <a:chExt cx="0" cy="571500"/>
        </a:xfrm>
      </xdr:grpSpPr>
      <xdr:cxnSp macro="">
        <xdr:nvCxnSpPr>
          <xdr:cNvPr id="41" name="Shape 9">
            <a:extLst>
              <a:ext uri="{FF2B5EF4-FFF2-40B4-BE49-F238E27FC236}">
                <a16:creationId xmlns:a16="http://schemas.microsoft.com/office/drawing/2014/main" id="{00000000-0008-0000-0400-000029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66675</xdr:colOff>
      <xdr:row>18</xdr:row>
      <xdr:rowOff>9525</xdr:rowOff>
    </xdr:from>
    <xdr:ext cx="257175" cy="257175"/>
    <xdr:sp macro="" textlink="">
      <xdr:nvSpPr>
        <xdr:cNvPr id="60" name="Shape 5">
          <a:extLst>
            <a:ext uri="{FF2B5EF4-FFF2-40B4-BE49-F238E27FC236}">
              <a16:creationId xmlns:a16="http://schemas.microsoft.com/office/drawing/2014/main" id="{00000000-0008-0000-0400-00003C000000}"/>
            </a:ext>
          </a:extLst>
        </xdr:cNvPr>
        <xdr:cNvSpPr/>
      </xdr:nvSpPr>
      <xdr:spPr>
        <a:xfrm>
          <a:off x="7639050" y="45339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371475</xdr:colOff>
      <xdr:row>18</xdr:row>
      <xdr:rowOff>0</xdr:rowOff>
    </xdr:from>
    <xdr:ext cx="257175" cy="257175"/>
    <xdr:sp macro="" textlink="">
      <xdr:nvSpPr>
        <xdr:cNvPr id="62" name="Shape 5">
          <a:extLst>
            <a:ext uri="{FF2B5EF4-FFF2-40B4-BE49-F238E27FC236}">
              <a16:creationId xmlns:a16="http://schemas.microsoft.com/office/drawing/2014/main" id="{00000000-0008-0000-0400-00003E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85725</xdr:colOff>
      <xdr:row>17</xdr:row>
      <xdr:rowOff>228600</xdr:rowOff>
    </xdr:from>
    <xdr:ext cx="257175" cy="257175"/>
    <xdr:sp macro="" textlink="">
      <xdr:nvSpPr>
        <xdr:cNvPr id="63" name="Shape 5">
          <a:extLst>
            <a:ext uri="{FF2B5EF4-FFF2-40B4-BE49-F238E27FC236}">
              <a16:creationId xmlns:a16="http://schemas.microsoft.com/office/drawing/2014/main" id="{00000000-0008-0000-0400-00003F000000}"/>
            </a:ext>
          </a:extLst>
        </xdr:cNvPr>
        <xdr:cNvSpPr/>
      </xdr:nvSpPr>
      <xdr:spPr>
        <a:xfrm>
          <a:off x="9172575" y="45148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447675</xdr:colOff>
      <xdr:row>17</xdr:row>
      <xdr:rowOff>85725</xdr:rowOff>
    </xdr:from>
    <xdr:ext cx="38100" cy="571500"/>
    <xdr:grpSp>
      <xdr:nvGrpSpPr>
        <xdr:cNvPr id="65" name="Shape 2">
          <a:extLst>
            <a:ext uri="{FF2B5EF4-FFF2-40B4-BE49-F238E27FC236}">
              <a16:creationId xmlns:a16="http://schemas.microsoft.com/office/drawing/2014/main" id="{00000000-0008-0000-0400-000041000000}"/>
            </a:ext>
          </a:extLst>
        </xdr:cNvPr>
        <xdr:cNvGrpSpPr/>
      </xdr:nvGrpSpPr>
      <xdr:grpSpPr>
        <a:xfrm>
          <a:off x="8020050" y="4133850"/>
          <a:ext cx="38100" cy="571500"/>
          <a:chOff x="5346000" y="3494250"/>
          <a:chExt cx="0" cy="571500"/>
        </a:xfrm>
      </xdr:grpSpPr>
      <xdr:cxnSp macro="">
        <xdr:nvCxnSpPr>
          <xdr:cNvPr id="66" name="Shape 9">
            <a:extLst>
              <a:ext uri="{FF2B5EF4-FFF2-40B4-BE49-F238E27FC236}">
                <a16:creationId xmlns:a16="http://schemas.microsoft.com/office/drawing/2014/main" id="{00000000-0008-0000-0400-000042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0</xdr:colOff>
      <xdr:row>17</xdr:row>
      <xdr:rowOff>95250</xdr:rowOff>
    </xdr:from>
    <xdr:ext cx="38100" cy="571500"/>
    <xdr:grpSp>
      <xdr:nvGrpSpPr>
        <xdr:cNvPr id="67" name="Shape 2">
          <a:extLst>
            <a:ext uri="{FF2B5EF4-FFF2-40B4-BE49-F238E27FC236}">
              <a16:creationId xmlns:a16="http://schemas.microsoft.com/office/drawing/2014/main" id="{00000000-0008-0000-0400-000043000000}"/>
            </a:ext>
          </a:extLst>
        </xdr:cNvPr>
        <xdr:cNvGrpSpPr/>
      </xdr:nvGrpSpPr>
      <xdr:grpSpPr>
        <a:xfrm>
          <a:off x="7572375" y="4143375"/>
          <a:ext cx="38100" cy="571500"/>
          <a:chOff x="5346000" y="3494250"/>
          <a:chExt cx="0" cy="571500"/>
        </a:xfrm>
      </xdr:grpSpPr>
      <xdr:cxnSp macro="">
        <xdr:nvCxnSpPr>
          <xdr:cNvPr id="68" name="Shape 9">
            <a:extLst>
              <a:ext uri="{FF2B5EF4-FFF2-40B4-BE49-F238E27FC236}">
                <a16:creationId xmlns:a16="http://schemas.microsoft.com/office/drawing/2014/main" id="{00000000-0008-0000-0400-000044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266700</xdr:colOff>
      <xdr:row>17</xdr:row>
      <xdr:rowOff>95250</xdr:rowOff>
    </xdr:from>
    <xdr:ext cx="38100" cy="571500"/>
    <xdr:grpSp>
      <xdr:nvGrpSpPr>
        <xdr:cNvPr id="69" name="Shape 2">
          <a:extLst>
            <a:ext uri="{FF2B5EF4-FFF2-40B4-BE49-F238E27FC236}">
              <a16:creationId xmlns:a16="http://schemas.microsoft.com/office/drawing/2014/main" id="{00000000-0008-0000-0400-000045000000}"/>
            </a:ext>
          </a:extLst>
        </xdr:cNvPr>
        <xdr:cNvGrpSpPr/>
      </xdr:nvGrpSpPr>
      <xdr:grpSpPr>
        <a:xfrm>
          <a:off x="8343900" y="4143375"/>
          <a:ext cx="38100" cy="571500"/>
          <a:chOff x="5346000" y="3494250"/>
          <a:chExt cx="0" cy="571500"/>
        </a:xfrm>
      </xdr:grpSpPr>
      <xdr:cxnSp macro="">
        <xdr:nvCxnSpPr>
          <xdr:cNvPr id="70" name="Shape 9">
            <a:extLst>
              <a:ext uri="{FF2B5EF4-FFF2-40B4-BE49-F238E27FC236}">
                <a16:creationId xmlns:a16="http://schemas.microsoft.com/office/drawing/2014/main" id="{00000000-0008-0000-0400-000046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190500</xdr:colOff>
      <xdr:row>17</xdr:row>
      <xdr:rowOff>114300</xdr:rowOff>
    </xdr:from>
    <xdr:ext cx="38100" cy="571500"/>
    <xdr:grpSp>
      <xdr:nvGrpSpPr>
        <xdr:cNvPr id="71" name="Shape 2">
          <a:extLst>
            <a:ext uri="{FF2B5EF4-FFF2-40B4-BE49-F238E27FC236}">
              <a16:creationId xmlns:a16="http://schemas.microsoft.com/office/drawing/2014/main" id="{00000000-0008-0000-0400-000047000000}"/>
            </a:ext>
          </a:extLst>
        </xdr:cNvPr>
        <xdr:cNvGrpSpPr/>
      </xdr:nvGrpSpPr>
      <xdr:grpSpPr>
        <a:xfrm>
          <a:off x="8772525" y="4162425"/>
          <a:ext cx="38100" cy="571500"/>
          <a:chOff x="5346000" y="3494250"/>
          <a:chExt cx="0" cy="571500"/>
        </a:xfrm>
      </xdr:grpSpPr>
      <xdr:cxnSp macro="">
        <xdr:nvCxnSpPr>
          <xdr:cNvPr id="72" name="Shape 9">
            <a:extLst>
              <a:ext uri="{FF2B5EF4-FFF2-40B4-BE49-F238E27FC236}">
                <a16:creationId xmlns:a16="http://schemas.microsoft.com/office/drawing/2014/main" id="{00000000-0008-0000-0400-000048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38100</xdr:colOff>
      <xdr:row>17</xdr:row>
      <xdr:rowOff>95250</xdr:rowOff>
    </xdr:from>
    <xdr:ext cx="38100" cy="571500"/>
    <xdr:grpSp>
      <xdr:nvGrpSpPr>
        <xdr:cNvPr id="73" name="Shape 2">
          <a:extLst>
            <a:ext uri="{FF2B5EF4-FFF2-40B4-BE49-F238E27FC236}">
              <a16:creationId xmlns:a16="http://schemas.microsoft.com/office/drawing/2014/main" id="{00000000-0008-0000-0400-000049000000}"/>
            </a:ext>
          </a:extLst>
        </xdr:cNvPr>
        <xdr:cNvGrpSpPr/>
      </xdr:nvGrpSpPr>
      <xdr:grpSpPr>
        <a:xfrm>
          <a:off x="9124950" y="4143375"/>
          <a:ext cx="38100" cy="571500"/>
          <a:chOff x="5346000" y="3494250"/>
          <a:chExt cx="0" cy="571500"/>
        </a:xfrm>
      </xdr:grpSpPr>
      <xdr:cxnSp macro="">
        <xdr:nvCxnSpPr>
          <xdr:cNvPr id="74" name="Shape 9">
            <a:extLst>
              <a:ext uri="{FF2B5EF4-FFF2-40B4-BE49-F238E27FC236}">
                <a16:creationId xmlns:a16="http://schemas.microsoft.com/office/drawing/2014/main" id="{00000000-0008-0000-0400-00004A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352425</xdr:colOff>
      <xdr:row>17</xdr:row>
      <xdr:rowOff>95250</xdr:rowOff>
    </xdr:from>
    <xdr:ext cx="38100" cy="571500"/>
    <xdr:grpSp>
      <xdr:nvGrpSpPr>
        <xdr:cNvPr id="75" name="Shape 2">
          <a:extLst>
            <a:ext uri="{FF2B5EF4-FFF2-40B4-BE49-F238E27FC236}">
              <a16:creationId xmlns:a16="http://schemas.microsoft.com/office/drawing/2014/main" id="{00000000-0008-0000-0400-00004B000000}"/>
            </a:ext>
          </a:extLst>
        </xdr:cNvPr>
        <xdr:cNvGrpSpPr/>
      </xdr:nvGrpSpPr>
      <xdr:grpSpPr>
        <a:xfrm>
          <a:off x="9439275" y="4143375"/>
          <a:ext cx="38100" cy="571500"/>
          <a:chOff x="5346000" y="3494250"/>
          <a:chExt cx="0" cy="571500"/>
        </a:xfrm>
      </xdr:grpSpPr>
      <xdr:cxnSp macro="">
        <xdr:nvCxnSpPr>
          <xdr:cNvPr id="76" name="Shape 9">
            <a:extLst>
              <a:ext uri="{FF2B5EF4-FFF2-40B4-BE49-F238E27FC236}">
                <a16:creationId xmlns:a16="http://schemas.microsoft.com/office/drawing/2014/main" id="{00000000-0008-0000-0400-00004C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14</xdr:col>
      <xdr:colOff>466725</xdr:colOff>
      <xdr:row>17</xdr:row>
      <xdr:rowOff>104775</xdr:rowOff>
    </xdr:from>
    <xdr:ext cx="38100" cy="571500"/>
    <xdr:grpSp>
      <xdr:nvGrpSpPr>
        <xdr:cNvPr id="77" name="Shape 2">
          <a:extLst>
            <a:ext uri="{FF2B5EF4-FFF2-40B4-BE49-F238E27FC236}">
              <a16:creationId xmlns:a16="http://schemas.microsoft.com/office/drawing/2014/main" id="{00000000-0008-0000-0400-00004D000000}"/>
            </a:ext>
          </a:extLst>
        </xdr:cNvPr>
        <xdr:cNvGrpSpPr/>
      </xdr:nvGrpSpPr>
      <xdr:grpSpPr>
        <a:xfrm>
          <a:off x="7534275" y="4152900"/>
          <a:ext cx="38100" cy="571500"/>
          <a:chOff x="5346000" y="3494250"/>
          <a:chExt cx="0" cy="571500"/>
        </a:xfrm>
      </xdr:grpSpPr>
      <xdr:cxnSp macro="">
        <xdr:nvCxnSpPr>
          <xdr:cNvPr id="78" name="Shape 9">
            <a:extLst>
              <a:ext uri="{FF2B5EF4-FFF2-40B4-BE49-F238E27FC236}">
                <a16:creationId xmlns:a16="http://schemas.microsoft.com/office/drawing/2014/main" id="{00000000-0008-0000-0400-00004E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400050</xdr:colOff>
      <xdr:row>17</xdr:row>
      <xdr:rowOff>95250</xdr:rowOff>
    </xdr:from>
    <xdr:ext cx="38100" cy="571500"/>
    <xdr:grpSp>
      <xdr:nvGrpSpPr>
        <xdr:cNvPr id="79" name="Shape 2">
          <a:extLst>
            <a:ext uri="{FF2B5EF4-FFF2-40B4-BE49-F238E27FC236}">
              <a16:creationId xmlns:a16="http://schemas.microsoft.com/office/drawing/2014/main" id="{00000000-0008-0000-0400-00004F000000}"/>
            </a:ext>
          </a:extLst>
        </xdr:cNvPr>
        <xdr:cNvGrpSpPr/>
      </xdr:nvGrpSpPr>
      <xdr:grpSpPr>
        <a:xfrm>
          <a:off x="7972425" y="4143375"/>
          <a:ext cx="38100" cy="571500"/>
          <a:chOff x="5346000" y="3494250"/>
          <a:chExt cx="0" cy="571500"/>
        </a:xfrm>
      </xdr:grpSpPr>
      <xdr:cxnSp macro="">
        <xdr:nvCxnSpPr>
          <xdr:cNvPr id="80" name="Shape 9">
            <a:extLst>
              <a:ext uri="{FF2B5EF4-FFF2-40B4-BE49-F238E27FC236}">
                <a16:creationId xmlns:a16="http://schemas.microsoft.com/office/drawing/2014/main" id="{00000000-0008-0000-0400-000050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304800</xdr:colOff>
      <xdr:row>17</xdr:row>
      <xdr:rowOff>104775</xdr:rowOff>
    </xdr:from>
    <xdr:ext cx="38100" cy="571500"/>
    <xdr:grpSp>
      <xdr:nvGrpSpPr>
        <xdr:cNvPr id="81" name="Shape 2">
          <a:extLst>
            <a:ext uri="{FF2B5EF4-FFF2-40B4-BE49-F238E27FC236}">
              <a16:creationId xmlns:a16="http://schemas.microsoft.com/office/drawing/2014/main" id="{00000000-0008-0000-0400-000051000000}"/>
            </a:ext>
          </a:extLst>
        </xdr:cNvPr>
        <xdr:cNvGrpSpPr/>
      </xdr:nvGrpSpPr>
      <xdr:grpSpPr>
        <a:xfrm>
          <a:off x="8382000" y="4152900"/>
          <a:ext cx="38100" cy="571500"/>
          <a:chOff x="5346000" y="3494250"/>
          <a:chExt cx="0" cy="571500"/>
        </a:xfrm>
      </xdr:grpSpPr>
      <xdr:cxnSp macro="">
        <xdr:nvCxnSpPr>
          <xdr:cNvPr id="82" name="Shape 9">
            <a:extLst>
              <a:ext uri="{FF2B5EF4-FFF2-40B4-BE49-F238E27FC236}">
                <a16:creationId xmlns:a16="http://schemas.microsoft.com/office/drawing/2014/main" id="{00000000-0008-0000-0400-000052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133350</xdr:colOff>
      <xdr:row>17</xdr:row>
      <xdr:rowOff>104775</xdr:rowOff>
    </xdr:from>
    <xdr:ext cx="38100" cy="571500"/>
    <xdr:grpSp>
      <xdr:nvGrpSpPr>
        <xdr:cNvPr id="83" name="Shape 2">
          <a:extLst>
            <a:ext uri="{FF2B5EF4-FFF2-40B4-BE49-F238E27FC236}">
              <a16:creationId xmlns:a16="http://schemas.microsoft.com/office/drawing/2014/main" id="{00000000-0008-0000-0400-000053000000}"/>
            </a:ext>
          </a:extLst>
        </xdr:cNvPr>
        <xdr:cNvGrpSpPr/>
      </xdr:nvGrpSpPr>
      <xdr:grpSpPr>
        <a:xfrm>
          <a:off x="8715375" y="4152900"/>
          <a:ext cx="38100" cy="571500"/>
          <a:chOff x="5346000" y="3494250"/>
          <a:chExt cx="0" cy="571500"/>
        </a:xfrm>
      </xdr:grpSpPr>
      <xdr:cxnSp macro="">
        <xdr:nvCxnSpPr>
          <xdr:cNvPr id="84" name="Shape 9">
            <a:extLst>
              <a:ext uri="{FF2B5EF4-FFF2-40B4-BE49-F238E27FC236}">
                <a16:creationId xmlns:a16="http://schemas.microsoft.com/office/drawing/2014/main" id="{00000000-0008-0000-0400-000054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0</xdr:colOff>
      <xdr:row>17</xdr:row>
      <xdr:rowOff>104775</xdr:rowOff>
    </xdr:from>
    <xdr:ext cx="38100" cy="571500"/>
    <xdr:grpSp>
      <xdr:nvGrpSpPr>
        <xdr:cNvPr id="85" name="Shape 2">
          <a:extLst>
            <a:ext uri="{FF2B5EF4-FFF2-40B4-BE49-F238E27FC236}">
              <a16:creationId xmlns:a16="http://schemas.microsoft.com/office/drawing/2014/main" id="{00000000-0008-0000-0400-000055000000}"/>
            </a:ext>
          </a:extLst>
        </xdr:cNvPr>
        <xdr:cNvGrpSpPr/>
      </xdr:nvGrpSpPr>
      <xdr:grpSpPr>
        <a:xfrm>
          <a:off x="9086850" y="4152900"/>
          <a:ext cx="38100" cy="571500"/>
          <a:chOff x="5346000" y="3494250"/>
          <a:chExt cx="0" cy="571500"/>
        </a:xfrm>
      </xdr:grpSpPr>
      <xdr:cxnSp macro="">
        <xdr:nvCxnSpPr>
          <xdr:cNvPr id="86" name="Shape 9">
            <a:extLst>
              <a:ext uri="{FF2B5EF4-FFF2-40B4-BE49-F238E27FC236}">
                <a16:creationId xmlns:a16="http://schemas.microsoft.com/office/drawing/2014/main" id="{00000000-0008-0000-0400-000056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400050</xdr:colOff>
      <xdr:row>17</xdr:row>
      <xdr:rowOff>114300</xdr:rowOff>
    </xdr:from>
    <xdr:ext cx="38100" cy="571500"/>
    <xdr:grpSp>
      <xdr:nvGrpSpPr>
        <xdr:cNvPr id="87" name="Shape 2">
          <a:extLst>
            <a:ext uri="{FF2B5EF4-FFF2-40B4-BE49-F238E27FC236}">
              <a16:creationId xmlns:a16="http://schemas.microsoft.com/office/drawing/2014/main" id="{00000000-0008-0000-0400-000057000000}"/>
            </a:ext>
          </a:extLst>
        </xdr:cNvPr>
        <xdr:cNvGrpSpPr/>
      </xdr:nvGrpSpPr>
      <xdr:grpSpPr>
        <a:xfrm>
          <a:off x="9486900" y="4162425"/>
          <a:ext cx="38100" cy="571500"/>
          <a:chOff x="5346000" y="3494250"/>
          <a:chExt cx="0" cy="571500"/>
        </a:xfrm>
      </xdr:grpSpPr>
      <xdr:cxnSp macro="">
        <xdr:nvCxnSpPr>
          <xdr:cNvPr id="88" name="Shape 9">
            <a:extLst>
              <a:ext uri="{FF2B5EF4-FFF2-40B4-BE49-F238E27FC236}">
                <a16:creationId xmlns:a16="http://schemas.microsoft.com/office/drawing/2014/main" id="{00000000-0008-0000-0400-000058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76200</xdr:colOff>
      <xdr:row>26</xdr:row>
      <xdr:rowOff>9525</xdr:rowOff>
    </xdr:from>
    <xdr:ext cx="257175" cy="257175"/>
    <xdr:sp macro="" textlink="">
      <xdr:nvSpPr>
        <xdr:cNvPr id="89" name="Shape 5">
          <a:extLst>
            <a:ext uri="{FF2B5EF4-FFF2-40B4-BE49-F238E27FC236}">
              <a16:creationId xmlns:a16="http://schemas.microsoft.com/office/drawing/2014/main" id="{00000000-0008-0000-0400-000059000000}"/>
            </a:ext>
          </a:extLst>
        </xdr:cNvPr>
        <xdr:cNvSpPr/>
      </xdr:nvSpPr>
      <xdr:spPr>
        <a:xfrm>
          <a:off x="7648575" y="64389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371475</xdr:colOff>
      <xdr:row>26</xdr:row>
      <xdr:rowOff>0</xdr:rowOff>
    </xdr:from>
    <xdr:ext cx="257175" cy="257175"/>
    <xdr:sp macro="" textlink="">
      <xdr:nvSpPr>
        <xdr:cNvPr id="91" name="Shape 5">
          <a:extLst>
            <a:ext uri="{FF2B5EF4-FFF2-40B4-BE49-F238E27FC236}">
              <a16:creationId xmlns:a16="http://schemas.microsoft.com/office/drawing/2014/main" id="{00000000-0008-0000-0400-00005B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409575</xdr:colOff>
      <xdr:row>26</xdr:row>
      <xdr:rowOff>9525</xdr:rowOff>
    </xdr:from>
    <xdr:ext cx="257175" cy="257175"/>
    <xdr:sp macro="" textlink="">
      <xdr:nvSpPr>
        <xdr:cNvPr id="92" name="Shape 5">
          <a:extLst>
            <a:ext uri="{FF2B5EF4-FFF2-40B4-BE49-F238E27FC236}">
              <a16:creationId xmlns:a16="http://schemas.microsoft.com/office/drawing/2014/main" id="{00000000-0008-0000-0400-00005C000000}"/>
            </a:ext>
          </a:extLst>
        </xdr:cNvPr>
        <xdr:cNvSpPr/>
      </xdr:nvSpPr>
      <xdr:spPr>
        <a:xfrm>
          <a:off x="7981950" y="64389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371475</xdr:colOff>
      <xdr:row>25</xdr:row>
      <xdr:rowOff>85725</xdr:rowOff>
    </xdr:from>
    <xdr:ext cx="38100" cy="571500"/>
    <xdr:grpSp>
      <xdr:nvGrpSpPr>
        <xdr:cNvPr id="94" name="Shape 2">
          <a:extLst>
            <a:ext uri="{FF2B5EF4-FFF2-40B4-BE49-F238E27FC236}">
              <a16:creationId xmlns:a16="http://schemas.microsoft.com/office/drawing/2014/main" id="{00000000-0008-0000-0400-00005E000000}"/>
            </a:ext>
          </a:extLst>
        </xdr:cNvPr>
        <xdr:cNvGrpSpPr/>
      </xdr:nvGrpSpPr>
      <xdr:grpSpPr>
        <a:xfrm>
          <a:off x="7943850" y="6038850"/>
          <a:ext cx="38100" cy="571500"/>
          <a:chOff x="5346000" y="3494250"/>
          <a:chExt cx="0" cy="571500"/>
        </a:xfrm>
      </xdr:grpSpPr>
      <xdr:cxnSp macro="">
        <xdr:nvCxnSpPr>
          <xdr:cNvPr id="95" name="Shape 9">
            <a:extLst>
              <a:ext uri="{FF2B5EF4-FFF2-40B4-BE49-F238E27FC236}">
                <a16:creationId xmlns:a16="http://schemas.microsoft.com/office/drawing/2014/main" id="{00000000-0008-0000-0400-00005F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28575</xdr:colOff>
      <xdr:row>25</xdr:row>
      <xdr:rowOff>95250</xdr:rowOff>
    </xdr:from>
    <xdr:ext cx="38100" cy="571500"/>
    <xdr:grpSp>
      <xdr:nvGrpSpPr>
        <xdr:cNvPr id="96" name="Shape 2">
          <a:extLst>
            <a:ext uri="{FF2B5EF4-FFF2-40B4-BE49-F238E27FC236}">
              <a16:creationId xmlns:a16="http://schemas.microsoft.com/office/drawing/2014/main" id="{00000000-0008-0000-0400-000060000000}"/>
            </a:ext>
          </a:extLst>
        </xdr:cNvPr>
        <xdr:cNvGrpSpPr/>
      </xdr:nvGrpSpPr>
      <xdr:grpSpPr>
        <a:xfrm>
          <a:off x="7600950" y="6048375"/>
          <a:ext cx="38100" cy="571500"/>
          <a:chOff x="5346000" y="3494250"/>
          <a:chExt cx="0" cy="571500"/>
        </a:xfrm>
      </xdr:grpSpPr>
      <xdr:cxnSp macro="">
        <xdr:nvCxnSpPr>
          <xdr:cNvPr id="97" name="Shape 9">
            <a:extLst>
              <a:ext uri="{FF2B5EF4-FFF2-40B4-BE49-F238E27FC236}">
                <a16:creationId xmlns:a16="http://schemas.microsoft.com/office/drawing/2014/main" id="{00000000-0008-0000-0400-000061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266700</xdr:colOff>
      <xdr:row>25</xdr:row>
      <xdr:rowOff>95250</xdr:rowOff>
    </xdr:from>
    <xdr:ext cx="38100" cy="571500"/>
    <xdr:grpSp>
      <xdr:nvGrpSpPr>
        <xdr:cNvPr id="98" name="Shape 2">
          <a:extLst>
            <a:ext uri="{FF2B5EF4-FFF2-40B4-BE49-F238E27FC236}">
              <a16:creationId xmlns:a16="http://schemas.microsoft.com/office/drawing/2014/main" id="{00000000-0008-0000-0400-000062000000}"/>
            </a:ext>
          </a:extLst>
        </xdr:cNvPr>
        <xdr:cNvGrpSpPr/>
      </xdr:nvGrpSpPr>
      <xdr:grpSpPr>
        <a:xfrm>
          <a:off x="8343900" y="6048375"/>
          <a:ext cx="38100" cy="571500"/>
          <a:chOff x="5346000" y="3494250"/>
          <a:chExt cx="0" cy="571500"/>
        </a:xfrm>
      </xdr:grpSpPr>
      <xdr:cxnSp macro="">
        <xdr:nvCxnSpPr>
          <xdr:cNvPr id="99" name="Shape 10">
            <a:extLst>
              <a:ext uri="{FF2B5EF4-FFF2-40B4-BE49-F238E27FC236}">
                <a16:creationId xmlns:a16="http://schemas.microsoft.com/office/drawing/2014/main" id="{00000000-0008-0000-0400-000063000000}"/>
              </a:ext>
            </a:extLst>
          </xdr:cNvPr>
          <xdr:cNvCxnSpPr/>
        </xdr:nvCxnSpPr>
        <xdr:spPr>
          <a:xfrm>
            <a:off x="5346000" y="3494250"/>
            <a:ext cx="0" cy="571500"/>
          </a:xfrm>
          <a:prstGeom prst="straightConnector1">
            <a:avLst/>
          </a:prstGeom>
          <a:noFill/>
          <a:ln w="19050" cap="flat" cmpd="sng">
            <a:solidFill>
              <a:srgbClr val="FF0000"/>
            </a:solidFill>
            <a:prstDash val="solid"/>
            <a:miter lim="8000"/>
            <a:headEnd type="none" w="sm" len="sm"/>
            <a:tailEnd type="none" w="sm" len="sm"/>
          </a:ln>
        </xdr:spPr>
      </xdr:cxnSp>
    </xdr:grpSp>
    <xdr:clientData fLocksWithSheet="0"/>
  </xdr:oneCellAnchor>
  <xdr:oneCellAnchor>
    <xdr:from>
      <xdr:col>17</xdr:col>
      <xdr:colOff>152400</xdr:colOff>
      <xdr:row>25</xdr:row>
      <xdr:rowOff>114300</xdr:rowOff>
    </xdr:from>
    <xdr:ext cx="38100" cy="571500"/>
    <xdr:grpSp>
      <xdr:nvGrpSpPr>
        <xdr:cNvPr id="100" name="Shape 2">
          <a:extLst>
            <a:ext uri="{FF2B5EF4-FFF2-40B4-BE49-F238E27FC236}">
              <a16:creationId xmlns:a16="http://schemas.microsoft.com/office/drawing/2014/main" id="{00000000-0008-0000-0400-000064000000}"/>
            </a:ext>
          </a:extLst>
        </xdr:cNvPr>
        <xdr:cNvGrpSpPr/>
      </xdr:nvGrpSpPr>
      <xdr:grpSpPr>
        <a:xfrm>
          <a:off x="8734425" y="6067425"/>
          <a:ext cx="38100" cy="571500"/>
          <a:chOff x="5346000" y="3494250"/>
          <a:chExt cx="0" cy="571500"/>
        </a:xfrm>
      </xdr:grpSpPr>
      <xdr:cxnSp macro="">
        <xdr:nvCxnSpPr>
          <xdr:cNvPr id="101" name="Shape 9">
            <a:extLst>
              <a:ext uri="{FF2B5EF4-FFF2-40B4-BE49-F238E27FC236}">
                <a16:creationId xmlns:a16="http://schemas.microsoft.com/office/drawing/2014/main" id="{00000000-0008-0000-0400-000065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19050</xdr:colOff>
      <xdr:row>25</xdr:row>
      <xdr:rowOff>95250</xdr:rowOff>
    </xdr:from>
    <xdr:ext cx="38100" cy="571500"/>
    <xdr:grpSp>
      <xdr:nvGrpSpPr>
        <xdr:cNvPr id="102" name="Shape 2">
          <a:extLst>
            <a:ext uri="{FF2B5EF4-FFF2-40B4-BE49-F238E27FC236}">
              <a16:creationId xmlns:a16="http://schemas.microsoft.com/office/drawing/2014/main" id="{00000000-0008-0000-0400-000066000000}"/>
            </a:ext>
          </a:extLst>
        </xdr:cNvPr>
        <xdr:cNvGrpSpPr/>
      </xdr:nvGrpSpPr>
      <xdr:grpSpPr>
        <a:xfrm>
          <a:off x="9105900" y="6048375"/>
          <a:ext cx="38100" cy="571500"/>
          <a:chOff x="5346000" y="3494250"/>
          <a:chExt cx="0" cy="571500"/>
        </a:xfrm>
      </xdr:grpSpPr>
      <xdr:cxnSp macro="">
        <xdr:nvCxnSpPr>
          <xdr:cNvPr id="103" name="Shape 9">
            <a:extLst>
              <a:ext uri="{FF2B5EF4-FFF2-40B4-BE49-F238E27FC236}">
                <a16:creationId xmlns:a16="http://schemas.microsoft.com/office/drawing/2014/main" id="{00000000-0008-0000-0400-000067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18</xdr:col>
      <xdr:colOff>361950</xdr:colOff>
      <xdr:row>25</xdr:row>
      <xdr:rowOff>95250</xdr:rowOff>
    </xdr:from>
    <xdr:ext cx="38100" cy="571500"/>
    <xdr:grpSp>
      <xdr:nvGrpSpPr>
        <xdr:cNvPr id="104" name="Shape 2">
          <a:extLst>
            <a:ext uri="{FF2B5EF4-FFF2-40B4-BE49-F238E27FC236}">
              <a16:creationId xmlns:a16="http://schemas.microsoft.com/office/drawing/2014/main" id="{00000000-0008-0000-0400-000068000000}"/>
            </a:ext>
          </a:extLst>
        </xdr:cNvPr>
        <xdr:cNvGrpSpPr/>
      </xdr:nvGrpSpPr>
      <xdr:grpSpPr>
        <a:xfrm>
          <a:off x="9448800" y="6048375"/>
          <a:ext cx="38100" cy="571500"/>
          <a:chOff x="5346000" y="3494250"/>
          <a:chExt cx="0" cy="571500"/>
        </a:xfrm>
      </xdr:grpSpPr>
      <xdr:cxnSp macro="">
        <xdr:nvCxnSpPr>
          <xdr:cNvPr id="105" name="Shape 9">
            <a:extLst>
              <a:ext uri="{FF2B5EF4-FFF2-40B4-BE49-F238E27FC236}">
                <a16:creationId xmlns:a16="http://schemas.microsoft.com/office/drawing/2014/main" id="{00000000-0008-0000-0400-000069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200025</xdr:colOff>
      <xdr:row>25</xdr:row>
      <xdr:rowOff>104775</xdr:rowOff>
    </xdr:from>
    <xdr:ext cx="38100" cy="571500"/>
    <xdr:grpSp>
      <xdr:nvGrpSpPr>
        <xdr:cNvPr id="106" name="Shape 2">
          <a:extLst>
            <a:ext uri="{FF2B5EF4-FFF2-40B4-BE49-F238E27FC236}">
              <a16:creationId xmlns:a16="http://schemas.microsoft.com/office/drawing/2014/main" id="{00000000-0008-0000-0400-00006A000000}"/>
            </a:ext>
          </a:extLst>
        </xdr:cNvPr>
        <xdr:cNvGrpSpPr/>
      </xdr:nvGrpSpPr>
      <xdr:grpSpPr>
        <a:xfrm>
          <a:off x="8277225" y="6057900"/>
          <a:ext cx="38100" cy="571500"/>
          <a:chOff x="5346000" y="3494250"/>
          <a:chExt cx="0" cy="571500"/>
        </a:xfrm>
      </xdr:grpSpPr>
      <xdr:cxnSp macro="">
        <xdr:nvCxnSpPr>
          <xdr:cNvPr id="107" name="Shape 9">
            <a:extLst>
              <a:ext uri="{FF2B5EF4-FFF2-40B4-BE49-F238E27FC236}">
                <a16:creationId xmlns:a16="http://schemas.microsoft.com/office/drawing/2014/main" id="{00000000-0008-0000-0400-00006B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333375</xdr:colOff>
      <xdr:row>25</xdr:row>
      <xdr:rowOff>85725</xdr:rowOff>
    </xdr:from>
    <xdr:ext cx="38100" cy="571500"/>
    <xdr:grpSp>
      <xdr:nvGrpSpPr>
        <xdr:cNvPr id="108" name="Shape 2">
          <a:extLst>
            <a:ext uri="{FF2B5EF4-FFF2-40B4-BE49-F238E27FC236}">
              <a16:creationId xmlns:a16="http://schemas.microsoft.com/office/drawing/2014/main" id="{00000000-0008-0000-0400-00006C000000}"/>
            </a:ext>
          </a:extLst>
        </xdr:cNvPr>
        <xdr:cNvGrpSpPr/>
      </xdr:nvGrpSpPr>
      <xdr:grpSpPr>
        <a:xfrm>
          <a:off x="8410575" y="6038850"/>
          <a:ext cx="38100" cy="571500"/>
          <a:chOff x="5346000" y="3494250"/>
          <a:chExt cx="0" cy="571500"/>
        </a:xfrm>
      </xdr:grpSpPr>
      <xdr:cxnSp macro="">
        <xdr:nvCxnSpPr>
          <xdr:cNvPr id="109" name="Shape 9">
            <a:extLst>
              <a:ext uri="{FF2B5EF4-FFF2-40B4-BE49-F238E27FC236}">
                <a16:creationId xmlns:a16="http://schemas.microsoft.com/office/drawing/2014/main" id="{00000000-0008-0000-0400-00006D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209550</xdr:colOff>
      <xdr:row>33</xdr:row>
      <xdr:rowOff>9525</xdr:rowOff>
    </xdr:from>
    <xdr:ext cx="257175" cy="257175"/>
    <xdr:sp macro="" textlink="">
      <xdr:nvSpPr>
        <xdr:cNvPr id="110" name="Shape 5">
          <a:extLst>
            <a:ext uri="{FF2B5EF4-FFF2-40B4-BE49-F238E27FC236}">
              <a16:creationId xmlns:a16="http://schemas.microsoft.com/office/drawing/2014/main" id="{00000000-0008-0000-0400-00006E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371475</xdr:colOff>
      <xdr:row>33</xdr:row>
      <xdr:rowOff>0</xdr:rowOff>
    </xdr:from>
    <xdr:ext cx="257175" cy="257175"/>
    <xdr:sp macro="" textlink="">
      <xdr:nvSpPr>
        <xdr:cNvPr id="112" name="Shape 5">
          <a:extLst>
            <a:ext uri="{FF2B5EF4-FFF2-40B4-BE49-F238E27FC236}">
              <a16:creationId xmlns:a16="http://schemas.microsoft.com/office/drawing/2014/main" id="{00000000-0008-0000-0400-000070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190500</xdr:colOff>
      <xdr:row>33</xdr:row>
      <xdr:rowOff>9525</xdr:rowOff>
    </xdr:from>
    <xdr:ext cx="257175" cy="257175"/>
    <xdr:sp macro="" textlink="">
      <xdr:nvSpPr>
        <xdr:cNvPr id="113" name="Shape 5">
          <a:extLst>
            <a:ext uri="{FF2B5EF4-FFF2-40B4-BE49-F238E27FC236}">
              <a16:creationId xmlns:a16="http://schemas.microsoft.com/office/drawing/2014/main" id="{00000000-0008-0000-0400-000071000000}"/>
            </a:ext>
          </a:extLst>
        </xdr:cNvPr>
        <xdr:cNvSpPr/>
      </xdr:nvSpPr>
      <xdr:spPr>
        <a:xfrm>
          <a:off x="8772525" y="81057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95250</xdr:colOff>
      <xdr:row>32</xdr:row>
      <xdr:rowOff>95250</xdr:rowOff>
    </xdr:from>
    <xdr:ext cx="38100" cy="571500"/>
    <xdr:grpSp>
      <xdr:nvGrpSpPr>
        <xdr:cNvPr id="115" name="Shape 2">
          <a:extLst>
            <a:ext uri="{FF2B5EF4-FFF2-40B4-BE49-F238E27FC236}">
              <a16:creationId xmlns:a16="http://schemas.microsoft.com/office/drawing/2014/main" id="{00000000-0008-0000-0400-000073000000}"/>
            </a:ext>
          </a:extLst>
        </xdr:cNvPr>
        <xdr:cNvGrpSpPr/>
      </xdr:nvGrpSpPr>
      <xdr:grpSpPr>
        <a:xfrm>
          <a:off x="7667625" y="7715250"/>
          <a:ext cx="38100" cy="571500"/>
          <a:chOff x="5346000" y="3494250"/>
          <a:chExt cx="0" cy="571500"/>
        </a:xfrm>
      </xdr:grpSpPr>
      <xdr:cxnSp macro="">
        <xdr:nvCxnSpPr>
          <xdr:cNvPr id="116" name="Shape 9">
            <a:extLst>
              <a:ext uri="{FF2B5EF4-FFF2-40B4-BE49-F238E27FC236}">
                <a16:creationId xmlns:a16="http://schemas.microsoft.com/office/drawing/2014/main" id="{00000000-0008-0000-0400-000074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209550</xdr:colOff>
      <xdr:row>37</xdr:row>
      <xdr:rowOff>9525</xdr:rowOff>
    </xdr:from>
    <xdr:ext cx="257175" cy="257175"/>
    <xdr:sp macro="" textlink="">
      <xdr:nvSpPr>
        <xdr:cNvPr id="117" name="Shape 11">
          <a:extLst>
            <a:ext uri="{FF2B5EF4-FFF2-40B4-BE49-F238E27FC236}">
              <a16:creationId xmlns:a16="http://schemas.microsoft.com/office/drawing/2014/main" id="{00000000-0008-0000-0400-000075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371475</xdr:colOff>
      <xdr:row>37</xdr:row>
      <xdr:rowOff>0</xdr:rowOff>
    </xdr:from>
    <xdr:ext cx="257175" cy="257175"/>
    <xdr:sp macro="" textlink="">
      <xdr:nvSpPr>
        <xdr:cNvPr id="119" name="Shape 11">
          <a:extLst>
            <a:ext uri="{FF2B5EF4-FFF2-40B4-BE49-F238E27FC236}">
              <a16:creationId xmlns:a16="http://schemas.microsoft.com/office/drawing/2014/main" id="{00000000-0008-0000-0400-000077000000}"/>
            </a:ext>
          </a:extLst>
        </xdr:cNvPr>
        <xdr:cNvSpPr/>
      </xdr:nvSpPr>
      <xdr:spPr>
        <a:xfrm>
          <a:off x="5226938" y="3660938"/>
          <a:ext cx="238125" cy="23812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190500</xdr:colOff>
      <xdr:row>37</xdr:row>
      <xdr:rowOff>9525</xdr:rowOff>
    </xdr:from>
    <xdr:ext cx="257175" cy="257175"/>
    <xdr:sp macro="" textlink="">
      <xdr:nvSpPr>
        <xdr:cNvPr id="120" name="Shape 11">
          <a:extLst>
            <a:ext uri="{FF2B5EF4-FFF2-40B4-BE49-F238E27FC236}">
              <a16:creationId xmlns:a16="http://schemas.microsoft.com/office/drawing/2014/main" id="{00000000-0008-0000-0400-000078000000}"/>
            </a:ext>
          </a:extLst>
        </xdr:cNvPr>
        <xdr:cNvSpPr/>
      </xdr:nvSpPr>
      <xdr:spPr>
        <a:xfrm>
          <a:off x="8772525" y="90582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523875</xdr:colOff>
      <xdr:row>36</xdr:row>
      <xdr:rowOff>104775</xdr:rowOff>
    </xdr:from>
    <xdr:ext cx="38100" cy="571500"/>
    <xdr:grpSp>
      <xdr:nvGrpSpPr>
        <xdr:cNvPr id="122" name="Shape 2">
          <a:extLst>
            <a:ext uri="{FF2B5EF4-FFF2-40B4-BE49-F238E27FC236}">
              <a16:creationId xmlns:a16="http://schemas.microsoft.com/office/drawing/2014/main" id="{00000000-0008-0000-0400-00007A000000}"/>
            </a:ext>
          </a:extLst>
        </xdr:cNvPr>
        <xdr:cNvGrpSpPr/>
      </xdr:nvGrpSpPr>
      <xdr:grpSpPr>
        <a:xfrm>
          <a:off x="8077200" y="8677275"/>
          <a:ext cx="38100" cy="571500"/>
          <a:chOff x="5346000" y="3494250"/>
          <a:chExt cx="0" cy="571500"/>
        </a:xfrm>
      </xdr:grpSpPr>
      <xdr:cxnSp macro="">
        <xdr:nvCxnSpPr>
          <xdr:cNvPr id="123" name="Shape 9">
            <a:extLst>
              <a:ext uri="{FF2B5EF4-FFF2-40B4-BE49-F238E27FC236}">
                <a16:creationId xmlns:a16="http://schemas.microsoft.com/office/drawing/2014/main" id="{00000000-0008-0000-0400-00007B0000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26</xdr:col>
      <xdr:colOff>400050</xdr:colOff>
      <xdr:row>4</xdr:row>
      <xdr:rowOff>0</xdr:rowOff>
    </xdr:from>
    <xdr:ext cx="257175" cy="257175"/>
    <xdr:sp macro="" textlink="">
      <xdr:nvSpPr>
        <xdr:cNvPr id="125" name="Shape 6">
          <a:extLst>
            <a:ext uri="{FF2B5EF4-FFF2-40B4-BE49-F238E27FC236}">
              <a16:creationId xmlns:a16="http://schemas.microsoft.com/office/drawing/2014/main" id="{90207C8C-72E7-4395-9FBF-86AF4F165E4E}"/>
            </a:ext>
          </a:extLst>
        </xdr:cNvPr>
        <xdr:cNvSpPr/>
      </xdr:nvSpPr>
      <xdr:spPr>
        <a:xfrm>
          <a:off x="13020675" y="952500"/>
          <a:ext cx="257175" cy="25717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23</xdr:col>
      <xdr:colOff>361950</xdr:colOff>
      <xdr:row>3</xdr:row>
      <xdr:rowOff>228600</xdr:rowOff>
    </xdr:from>
    <xdr:ext cx="257175" cy="257175"/>
    <xdr:sp macro="" textlink="">
      <xdr:nvSpPr>
        <xdr:cNvPr id="126" name="Shape 6">
          <a:extLst>
            <a:ext uri="{FF2B5EF4-FFF2-40B4-BE49-F238E27FC236}">
              <a16:creationId xmlns:a16="http://schemas.microsoft.com/office/drawing/2014/main" id="{02B0FD9F-D248-4A2D-86AD-5772344026F3}"/>
            </a:ext>
          </a:extLst>
        </xdr:cNvPr>
        <xdr:cNvSpPr/>
      </xdr:nvSpPr>
      <xdr:spPr>
        <a:xfrm>
          <a:off x="11468100" y="942975"/>
          <a:ext cx="257175" cy="257175"/>
        </a:xfrm>
        <a:prstGeom prst="ellipse">
          <a:avLst/>
        </a:prstGeom>
        <a:solidFill>
          <a:schemeClr val="dk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19050</xdr:colOff>
      <xdr:row>4</xdr:row>
      <xdr:rowOff>9525</xdr:rowOff>
    </xdr:from>
    <xdr:ext cx="257175" cy="257175"/>
    <xdr:sp macro="" textlink="">
      <xdr:nvSpPr>
        <xdr:cNvPr id="127" name="Shape 3">
          <a:extLst>
            <a:ext uri="{FF2B5EF4-FFF2-40B4-BE49-F238E27FC236}">
              <a16:creationId xmlns:a16="http://schemas.microsoft.com/office/drawing/2014/main" id="{722CA229-FD3F-40C3-BB60-D3ABAFD90679}"/>
            </a:ext>
          </a:extLst>
        </xdr:cNvPr>
        <xdr:cNvSpPr/>
      </xdr:nvSpPr>
      <xdr:spPr>
        <a:xfrm>
          <a:off x="8096250"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38100</xdr:colOff>
      <xdr:row>4</xdr:row>
      <xdr:rowOff>0</xdr:rowOff>
    </xdr:from>
    <xdr:ext cx="257175" cy="257175"/>
    <xdr:sp macro="" textlink="">
      <xdr:nvSpPr>
        <xdr:cNvPr id="128" name="Shape 5">
          <a:extLst>
            <a:ext uri="{FF2B5EF4-FFF2-40B4-BE49-F238E27FC236}">
              <a16:creationId xmlns:a16="http://schemas.microsoft.com/office/drawing/2014/main" id="{51F9500A-FE4F-44F0-85C7-28EFBDB10338}"/>
            </a:ext>
          </a:extLst>
        </xdr:cNvPr>
        <xdr:cNvSpPr/>
      </xdr:nvSpPr>
      <xdr:spPr>
        <a:xfrm>
          <a:off x="9124950" y="9525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352425</xdr:colOff>
      <xdr:row>3</xdr:row>
      <xdr:rowOff>104775</xdr:rowOff>
    </xdr:from>
    <xdr:ext cx="38100" cy="571500"/>
    <xdr:grpSp>
      <xdr:nvGrpSpPr>
        <xdr:cNvPr id="129" name="Shape 2">
          <a:extLst>
            <a:ext uri="{FF2B5EF4-FFF2-40B4-BE49-F238E27FC236}">
              <a16:creationId xmlns:a16="http://schemas.microsoft.com/office/drawing/2014/main" id="{65BBA9A3-DF0D-4406-B1A7-4054C618F121}"/>
            </a:ext>
          </a:extLst>
        </xdr:cNvPr>
        <xdr:cNvGrpSpPr/>
      </xdr:nvGrpSpPr>
      <xdr:grpSpPr>
        <a:xfrm>
          <a:off x="9439275" y="819150"/>
          <a:ext cx="38100" cy="571500"/>
          <a:chOff x="5346000" y="3494250"/>
          <a:chExt cx="0" cy="571500"/>
        </a:xfrm>
      </xdr:grpSpPr>
      <xdr:cxnSp macro="">
        <xdr:nvCxnSpPr>
          <xdr:cNvPr id="130" name="Shape 9">
            <a:extLst>
              <a:ext uri="{FF2B5EF4-FFF2-40B4-BE49-F238E27FC236}">
                <a16:creationId xmlns:a16="http://schemas.microsoft.com/office/drawing/2014/main" id="{B45C9566-35DF-13EF-1DAC-01D25DEB23C2}"/>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152400</xdr:colOff>
      <xdr:row>10</xdr:row>
      <xdr:rowOff>9525</xdr:rowOff>
    </xdr:from>
    <xdr:ext cx="257175" cy="257175"/>
    <xdr:sp macro="" textlink="">
      <xdr:nvSpPr>
        <xdr:cNvPr id="131" name="Shape 3">
          <a:extLst>
            <a:ext uri="{FF2B5EF4-FFF2-40B4-BE49-F238E27FC236}">
              <a16:creationId xmlns:a16="http://schemas.microsoft.com/office/drawing/2014/main" id="{F279F1C8-490F-42C8-B3AD-FA0EEA32FE9C}"/>
            </a:ext>
          </a:extLst>
        </xdr:cNvPr>
        <xdr:cNvSpPr/>
      </xdr:nvSpPr>
      <xdr:spPr>
        <a:xfrm>
          <a:off x="7724775"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352425</xdr:colOff>
      <xdr:row>10</xdr:row>
      <xdr:rowOff>0</xdr:rowOff>
    </xdr:from>
    <xdr:ext cx="257175" cy="257175"/>
    <xdr:sp macro="" textlink="">
      <xdr:nvSpPr>
        <xdr:cNvPr id="132" name="Shape 5">
          <a:extLst>
            <a:ext uri="{FF2B5EF4-FFF2-40B4-BE49-F238E27FC236}">
              <a16:creationId xmlns:a16="http://schemas.microsoft.com/office/drawing/2014/main" id="{B1DABF8A-10CF-466B-93BC-BB0A575042F9}"/>
            </a:ext>
          </a:extLst>
        </xdr:cNvPr>
        <xdr:cNvSpPr/>
      </xdr:nvSpPr>
      <xdr:spPr>
        <a:xfrm>
          <a:off x="8429625" y="9525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200025</xdr:colOff>
      <xdr:row>10</xdr:row>
      <xdr:rowOff>9525</xdr:rowOff>
    </xdr:from>
    <xdr:ext cx="257175" cy="257175"/>
    <xdr:sp macro="" textlink="">
      <xdr:nvSpPr>
        <xdr:cNvPr id="133" name="Shape 5">
          <a:extLst>
            <a:ext uri="{FF2B5EF4-FFF2-40B4-BE49-F238E27FC236}">
              <a16:creationId xmlns:a16="http://schemas.microsoft.com/office/drawing/2014/main" id="{94687864-B3E3-4BEE-89FA-14D73183BEBD}"/>
            </a:ext>
          </a:extLst>
        </xdr:cNvPr>
        <xdr:cNvSpPr/>
      </xdr:nvSpPr>
      <xdr:spPr>
        <a:xfrm>
          <a:off x="8782050"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476250</xdr:colOff>
      <xdr:row>9</xdr:row>
      <xdr:rowOff>85725</xdr:rowOff>
    </xdr:from>
    <xdr:ext cx="38100" cy="571500"/>
    <xdr:grpSp>
      <xdr:nvGrpSpPr>
        <xdr:cNvPr id="134" name="Shape 2">
          <a:extLst>
            <a:ext uri="{FF2B5EF4-FFF2-40B4-BE49-F238E27FC236}">
              <a16:creationId xmlns:a16="http://schemas.microsoft.com/office/drawing/2014/main" id="{5E8525BE-24B3-43DC-91FC-61DB1124B957}"/>
            </a:ext>
          </a:extLst>
        </xdr:cNvPr>
        <xdr:cNvGrpSpPr/>
      </xdr:nvGrpSpPr>
      <xdr:grpSpPr>
        <a:xfrm>
          <a:off x="8048625" y="2228850"/>
          <a:ext cx="38100" cy="571500"/>
          <a:chOff x="5346000" y="3494250"/>
          <a:chExt cx="0" cy="571500"/>
        </a:xfrm>
      </xdr:grpSpPr>
      <xdr:cxnSp macro="">
        <xdr:nvCxnSpPr>
          <xdr:cNvPr id="135" name="Shape 9">
            <a:extLst>
              <a:ext uri="{FF2B5EF4-FFF2-40B4-BE49-F238E27FC236}">
                <a16:creationId xmlns:a16="http://schemas.microsoft.com/office/drawing/2014/main" id="{71D785F1-9DA4-4ED7-2A97-312697FDA9DA}"/>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95250</xdr:colOff>
      <xdr:row>9</xdr:row>
      <xdr:rowOff>95250</xdr:rowOff>
    </xdr:from>
    <xdr:ext cx="38100" cy="571500"/>
    <xdr:grpSp>
      <xdr:nvGrpSpPr>
        <xdr:cNvPr id="136" name="Shape 2">
          <a:extLst>
            <a:ext uri="{FF2B5EF4-FFF2-40B4-BE49-F238E27FC236}">
              <a16:creationId xmlns:a16="http://schemas.microsoft.com/office/drawing/2014/main" id="{869E300F-36C1-4B88-B28F-A936C68365D7}"/>
            </a:ext>
          </a:extLst>
        </xdr:cNvPr>
        <xdr:cNvGrpSpPr/>
      </xdr:nvGrpSpPr>
      <xdr:grpSpPr>
        <a:xfrm>
          <a:off x="7667625" y="2238375"/>
          <a:ext cx="38100" cy="571500"/>
          <a:chOff x="5346000" y="3494250"/>
          <a:chExt cx="0" cy="571500"/>
        </a:xfrm>
      </xdr:grpSpPr>
      <xdr:cxnSp macro="">
        <xdr:nvCxnSpPr>
          <xdr:cNvPr id="137" name="Shape 9">
            <a:extLst>
              <a:ext uri="{FF2B5EF4-FFF2-40B4-BE49-F238E27FC236}">
                <a16:creationId xmlns:a16="http://schemas.microsoft.com/office/drawing/2014/main" id="{B34D21AF-A45A-2813-964A-E7A1C5D76A9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304800</xdr:colOff>
      <xdr:row>9</xdr:row>
      <xdr:rowOff>95250</xdr:rowOff>
    </xdr:from>
    <xdr:ext cx="38100" cy="571500"/>
    <xdr:grpSp>
      <xdr:nvGrpSpPr>
        <xdr:cNvPr id="138" name="Shape 2">
          <a:extLst>
            <a:ext uri="{FF2B5EF4-FFF2-40B4-BE49-F238E27FC236}">
              <a16:creationId xmlns:a16="http://schemas.microsoft.com/office/drawing/2014/main" id="{7D2DDD79-7A98-441C-AC66-6142EBFF0B0D}"/>
            </a:ext>
          </a:extLst>
        </xdr:cNvPr>
        <xdr:cNvGrpSpPr/>
      </xdr:nvGrpSpPr>
      <xdr:grpSpPr>
        <a:xfrm>
          <a:off x="8382000" y="2238375"/>
          <a:ext cx="38100" cy="571500"/>
          <a:chOff x="5346000" y="3494250"/>
          <a:chExt cx="0" cy="571500"/>
        </a:xfrm>
      </xdr:grpSpPr>
      <xdr:cxnSp macro="">
        <xdr:nvCxnSpPr>
          <xdr:cNvPr id="139" name="Shape 9">
            <a:extLst>
              <a:ext uri="{FF2B5EF4-FFF2-40B4-BE49-F238E27FC236}">
                <a16:creationId xmlns:a16="http://schemas.microsoft.com/office/drawing/2014/main" id="{A454F125-CDF7-6F62-4D6D-C7C9E6D6392F}"/>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142875</xdr:colOff>
      <xdr:row>9</xdr:row>
      <xdr:rowOff>114300</xdr:rowOff>
    </xdr:from>
    <xdr:ext cx="38100" cy="571500"/>
    <xdr:grpSp>
      <xdr:nvGrpSpPr>
        <xdr:cNvPr id="140" name="Shape 2">
          <a:extLst>
            <a:ext uri="{FF2B5EF4-FFF2-40B4-BE49-F238E27FC236}">
              <a16:creationId xmlns:a16="http://schemas.microsoft.com/office/drawing/2014/main" id="{CE0D1021-73F9-470D-A9CC-F02F94363500}"/>
            </a:ext>
          </a:extLst>
        </xdr:cNvPr>
        <xdr:cNvGrpSpPr/>
      </xdr:nvGrpSpPr>
      <xdr:grpSpPr>
        <a:xfrm>
          <a:off x="8724900" y="2257425"/>
          <a:ext cx="38100" cy="571500"/>
          <a:chOff x="5346000" y="3494250"/>
          <a:chExt cx="0" cy="571500"/>
        </a:xfrm>
      </xdr:grpSpPr>
      <xdr:cxnSp macro="">
        <xdr:nvCxnSpPr>
          <xdr:cNvPr id="141" name="Shape 9">
            <a:extLst>
              <a:ext uri="{FF2B5EF4-FFF2-40B4-BE49-F238E27FC236}">
                <a16:creationId xmlns:a16="http://schemas.microsoft.com/office/drawing/2014/main" id="{88A812D7-4900-B86D-30D5-382887120CE9}"/>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17</xdr:col>
      <xdr:colOff>485775</xdr:colOff>
      <xdr:row>9</xdr:row>
      <xdr:rowOff>95250</xdr:rowOff>
    </xdr:from>
    <xdr:ext cx="38100" cy="571500"/>
    <xdr:grpSp>
      <xdr:nvGrpSpPr>
        <xdr:cNvPr id="142" name="Shape 2">
          <a:extLst>
            <a:ext uri="{FF2B5EF4-FFF2-40B4-BE49-F238E27FC236}">
              <a16:creationId xmlns:a16="http://schemas.microsoft.com/office/drawing/2014/main" id="{434061A1-0383-4952-B45E-5677EDBDE57C}"/>
            </a:ext>
          </a:extLst>
        </xdr:cNvPr>
        <xdr:cNvGrpSpPr/>
      </xdr:nvGrpSpPr>
      <xdr:grpSpPr>
        <a:xfrm>
          <a:off x="9067800" y="2238375"/>
          <a:ext cx="38100" cy="571500"/>
          <a:chOff x="5346000" y="3494250"/>
          <a:chExt cx="0" cy="571500"/>
        </a:xfrm>
      </xdr:grpSpPr>
      <xdr:cxnSp macro="">
        <xdr:nvCxnSpPr>
          <xdr:cNvPr id="143" name="Shape 9">
            <a:extLst>
              <a:ext uri="{FF2B5EF4-FFF2-40B4-BE49-F238E27FC236}">
                <a16:creationId xmlns:a16="http://schemas.microsoft.com/office/drawing/2014/main" id="{90332EAA-5B48-FD21-B962-26D07C08408B}"/>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19050</xdr:colOff>
      <xdr:row>10</xdr:row>
      <xdr:rowOff>9525</xdr:rowOff>
    </xdr:from>
    <xdr:ext cx="257175" cy="257175"/>
    <xdr:sp macro="" textlink="">
      <xdr:nvSpPr>
        <xdr:cNvPr id="144" name="Shape 3">
          <a:extLst>
            <a:ext uri="{FF2B5EF4-FFF2-40B4-BE49-F238E27FC236}">
              <a16:creationId xmlns:a16="http://schemas.microsoft.com/office/drawing/2014/main" id="{8C879524-782D-4441-93E3-567B53B984CE}"/>
            </a:ext>
          </a:extLst>
        </xdr:cNvPr>
        <xdr:cNvSpPr/>
      </xdr:nvSpPr>
      <xdr:spPr>
        <a:xfrm>
          <a:off x="8096250" y="9620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38100</xdr:colOff>
      <xdr:row>10</xdr:row>
      <xdr:rowOff>0</xdr:rowOff>
    </xdr:from>
    <xdr:ext cx="257175" cy="257175"/>
    <xdr:sp macro="" textlink="">
      <xdr:nvSpPr>
        <xdr:cNvPr id="145" name="Shape 5">
          <a:extLst>
            <a:ext uri="{FF2B5EF4-FFF2-40B4-BE49-F238E27FC236}">
              <a16:creationId xmlns:a16="http://schemas.microsoft.com/office/drawing/2014/main" id="{A2B8DDF5-FA63-4B37-8F5F-038EA82B4C1F}"/>
            </a:ext>
          </a:extLst>
        </xdr:cNvPr>
        <xdr:cNvSpPr/>
      </xdr:nvSpPr>
      <xdr:spPr>
        <a:xfrm>
          <a:off x="9124950" y="95250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352425</xdr:colOff>
      <xdr:row>9</xdr:row>
      <xdr:rowOff>104775</xdr:rowOff>
    </xdr:from>
    <xdr:ext cx="38100" cy="571500"/>
    <xdr:grpSp>
      <xdr:nvGrpSpPr>
        <xdr:cNvPr id="146" name="Shape 2">
          <a:extLst>
            <a:ext uri="{FF2B5EF4-FFF2-40B4-BE49-F238E27FC236}">
              <a16:creationId xmlns:a16="http://schemas.microsoft.com/office/drawing/2014/main" id="{A952714E-3556-487B-AB58-1F3B836F92F0}"/>
            </a:ext>
          </a:extLst>
        </xdr:cNvPr>
        <xdr:cNvGrpSpPr/>
      </xdr:nvGrpSpPr>
      <xdr:grpSpPr>
        <a:xfrm>
          <a:off x="9439275" y="2247900"/>
          <a:ext cx="38100" cy="571500"/>
          <a:chOff x="5346000" y="3494250"/>
          <a:chExt cx="0" cy="571500"/>
        </a:xfrm>
      </xdr:grpSpPr>
      <xdr:cxnSp macro="">
        <xdr:nvCxnSpPr>
          <xdr:cNvPr id="147" name="Shape 9">
            <a:extLst>
              <a:ext uri="{FF2B5EF4-FFF2-40B4-BE49-F238E27FC236}">
                <a16:creationId xmlns:a16="http://schemas.microsoft.com/office/drawing/2014/main" id="{655F9E78-EF5A-6BD9-97AD-808C8BAB1C72}"/>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152400</xdr:colOff>
      <xdr:row>13</xdr:row>
      <xdr:rowOff>9525</xdr:rowOff>
    </xdr:from>
    <xdr:ext cx="257175" cy="257175"/>
    <xdr:sp macro="" textlink="">
      <xdr:nvSpPr>
        <xdr:cNvPr id="148" name="Shape 3">
          <a:extLst>
            <a:ext uri="{FF2B5EF4-FFF2-40B4-BE49-F238E27FC236}">
              <a16:creationId xmlns:a16="http://schemas.microsoft.com/office/drawing/2014/main" id="{373E3990-B548-46E5-9DC8-65F9ED48AB63}"/>
            </a:ext>
          </a:extLst>
        </xdr:cNvPr>
        <xdr:cNvSpPr/>
      </xdr:nvSpPr>
      <xdr:spPr>
        <a:xfrm>
          <a:off x="7724775" y="23907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485775</xdr:colOff>
      <xdr:row>13</xdr:row>
      <xdr:rowOff>0</xdr:rowOff>
    </xdr:from>
    <xdr:ext cx="257175" cy="257175"/>
    <xdr:sp macro="" textlink="">
      <xdr:nvSpPr>
        <xdr:cNvPr id="149" name="Shape 5">
          <a:extLst>
            <a:ext uri="{FF2B5EF4-FFF2-40B4-BE49-F238E27FC236}">
              <a16:creationId xmlns:a16="http://schemas.microsoft.com/office/drawing/2014/main" id="{D1A0E204-40EF-43E5-AE15-A36A61F72528}"/>
            </a:ext>
          </a:extLst>
        </xdr:cNvPr>
        <xdr:cNvSpPr/>
      </xdr:nvSpPr>
      <xdr:spPr>
        <a:xfrm>
          <a:off x="8562975" y="30956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304800</xdr:colOff>
      <xdr:row>13</xdr:row>
      <xdr:rowOff>9525</xdr:rowOff>
    </xdr:from>
    <xdr:ext cx="257175" cy="257175"/>
    <xdr:sp macro="" textlink="">
      <xdr:nvSpPr>
        <xdr:cNvPr id="150" name="Shape 5">
          <a:extLst>
            <a:ext uri="{FF2B5EF4-FFF2-40B4-BE49-F238E27FC236}">
              <a16:creationId xmlns:a16="http://schemas.microsoft.com/office/drawing/2014/main" id="{9566C1CE-114F-4D8F-BE95-21E8369D0BB2}"/>
            </a:ext>
          </a:extLst>
        </xdr:cNvPr>
        <xdr:cNvSpPr/>
      </xdr:nvSpPr>
      <xdr:spPr>
        <a:xfrm>
          <a:off x="8886825" y="31051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342900</xdr:colOff>
      <xdr:row>12</xdr:row>
      <xdr:rowOff>85725</xdr:rowOff>
    </xdr:from>
    <xdr:ext cx="38100" cy="571500"/>
    <xdr:grpSp>
      <xdr:nvGrpSpPr>
        <xdr:cNvPr id="151" name="Shape 2">
          <a:extLst>
            <a:ext uri="{FF2B5EF4-FFF2-40B4-BE49-F238E27FC236}">
              <a16:creationId xmlns:a16="http://schemas.microsoft.com/office/drawing/2014/main" id="{2564549B-948F-45B4-A430-2D9240DC7EAF}"/>
            </a:ext>
          </a:extLst>
        </xdr:cNvPr>
        <xdr:cNvGrpSpPr/>
      </xdr:nvGrpSpPr>
      <xdr:grpSpPr>
        <a:xfrm>
          <a:off x="8420100" y="2943225"/>
          <a:ext cx="38100" cy="571500"/>
          <a:chOff x="5346000" y="3494250"/>
          <a:chExt cx="0" cy="571500"/>
        </a:xfrm>
      </xdr:grpSpPr>
      <xdr:cxnSp macro="">
        <xdr:nvCxnSpPr>
          <xdr:cNvPr id="152" name="Shape 9">
            <a:extLst>
              <a:ext uri="{FF2B5EF4-FFF2-40B4-BE49-F238E27FC236}">
                <a16:creationId xmlns:a16="http://schemas.microsoft.com/office/drawing/2014/main" id="{59A09AB4-6AD6-AC6F-BF2F-AB6C219DD54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16</xdr:col>
      <xdr:colOff>390525</xdr:colOff>
      <xdr:row>12</xdr:row>
      <xdr:rowOff>95250</xdr:rowOff>
    </xdr:from>
    <xdr:ext cx="38100" cy="571500"/>
    <xdr:grpSp>
      <xdr:nvGrpSpPr>
        <xdr:cNvPr id="155" name="Shape 2">
          <a:extLst>
            <a:ext uri="{FF2B5EF4-FFF2-40B4-BE49-F238E27FC236}">
              <a16:creationId xmlns:a16="http://schemas.microsoft.com/office/drawing/2014/main" id="{E1FA4503-C3C9-4F79-BB95-C6AE478B63BD}"/>
            </a:ext>
          </a:extLst>
        </xdr:cNvPr>
        <xdr:cNvGrpSpPr/>
      </xdr:nvGrpSpPr>
      <xdr:grpSpPr>
        <a:xfrm>
          <a:off x="8467725" y="2952750"/>
          <a:ext cx="38100" cy="571500"/>
          <a:chOff x="5346000" y="3494250"/>
          <a:chExt cx="0" cy="571500"/>
        </a:xfrm>
      </xdr:grpSpPr>
      <xdr:cxnSp macro="">
        <xdr:nvCxnSpPr>
          <xdr:cNvPr id="156" name="Shape 9">
            <a:extLst>
              <a:ext uri="{FF2B5EF4-FFF2-40B4-BE49-F238E27FC236}">
                <a16:creationId xmlns:a16="http://schemas.microsoft.com/office/drawing/2014/main" id="{5EDF2831-CB4D-B96F-1590-C188AEE55900}"/>
              </a:ext>
            </a:extLst>
          </xdr:cNvPr>
          <xdr:cNvCxnSpPr/>
        </xdr:nvCxnSpPr>
        <xdr:spPr>
          <a:xfrm>
            <a:off x="5346000" y="3494250"/>
            <a:ext cx="0" cy="571500"/>
          </a:xfrm>
          <a:prstGeom prst="straightConnector1">
            <a:avLst/>
          </a:prstGeom>
          <a:noFill/>
          <a:ln w="19050" cap="flat" cmpd="sng">
            <a:solidFill>
              <a:schemeClr val="accent1"/>
            </a:solidFill>
            <a:prstDash val="solid"/>
            <a:miter lim="8000"/>
            <a:headEnd type="none" w="sm" len="sm"/>
            <a:tailEnd type="none" w="sm" len="sm"/>
          </a:ln>
        </xdr:spPr>
      </xdr:cxnSp>
    </xdr:grpSp>
    <xdr:clientData fLocksWithSheet="0"/>
  </xdr:oneCellAnchor>
  <xdr:oneCellAnchor>
    <xdr:from>
      <xdr:col>15</xdr:col>
      <xdr:colOff>495300</xdr:colOff>
      <xdr:row>13</xdr:row>
      <xdr:rowOff>9525</xdr:rowOff>
    </xdr:from>
    <xdr:ext cx="257175" cy="257175"/>
    <xdr:sp macro="" textlink="">
      <xdr:nvSpPr>
        <xdr:cNvPr id="161" name="Shape 3">
          <a:extLst>
            <a:ext uri="{FF2B5EF4-FFF2-40B4-BE49-F238E27FC236}">
              <a16:creationId xmlns:a16="http://schemas.microsoft.com/office/drawing/2014/main" id="{1751B494-A4F0-49BD-A178-C28DEDA09917}"/>
            </a:ext>
          </a:extLst>
        </xdr:cNvPr>
        <xdr:cNvSpPr/>
      </xdr:nvSpPr>
      <xdr:spPr>
        <a:xfrm>
          <a:off x="8067675" y="33432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142875</xdr:colOff>
      <xdr:row>13</xdr:row>
      <xdr:rowOff>0</xdr:rowOff>
    </xdr:from>
    <xdr:ext cx="257175" cy="257175"/>
    <xdr:sp macro="" textlink="">
      <xdr:nvSpPr>
        <xdr:cNvPr id="162" name="Shape 5">
          <a:extLst>
            <a:ext uri="{FF2B5EF4-FFF2-40B4-BE49-F238E27FC236}">
              <a16:creationId xmlns:a16="http://schemas.microsoft.com/office/drawing/2014/main" id="{3079F493-ACA0-4473-B97F-FAEA7979F8D1}"/>
            </a:ext>
          </a:extLst>
        </xdr:cNvPr>
        <xdr:cNvSpPr/>
      </xdr:nvSpPr>
      <xdr:spPr>
        <a:xfrm>
          <a:off x="9229725" y="309562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466725</xdr:colOff>
      <xdr:row>17</xdr:row>
      <xdr:rowOff>228600</xdr:rowOff>
    </xdr:from>
    <xdr:ext cx="257175" cy="257175"/>
    <xdr:sp macro="" textlink="">
      <xdr:nvSpPr>
        <xdr:cNvPr id="165" name="Shape 5">
          <a:extLst>
            <a:ext uri="{FF2B5EF4-FFF2-40B4-BE49-F238E27FC236}">
              <a16:creationId xmlns:a16="http://schemas.microsoft.com/office/drawing/2014/main" id="{239E7792-647D-4896-9F6B-766E47297415}"/>
            </a:ext>
          </a:extLst>
        </xdr:cNvPr>
        <xdr:cNvSpPr/>
      </xdr:nvSpPr>
      <xdr:spPr>
        <a:xfrm>
          <a:off x="8039100" y="45148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219075</xdr:colOff>
      <xdr:row>18</xdr:row>
      <xdr:rowOff>0</xdr:rowOff>
    </xdr:from>
    <xdr:ext cx="257175" cy="257175"/>
    <xdr:sp macro="" textlink="">
      <xdr:nvSpPr>
        <xdr:cNvPr id="166" name="Shape 5">
          <a:extLst>
            <a:ext uri="{FF2B5EF4-FFF2-40B4-BE49-F238E27FC236}">
              <a16:creationId xmlns:a16="http://schemas.microsoft.com/office/drawing/2014/main" id="{8EB004F4-E835-41AB-A7C3-D2F7B8226B6F}"/>
            </a:ext>
          </a:extLst>
        </xdr:cNvPr>
        <xdr:cNvSpPr/>
      </xdr:nvSpPr>
      <xdr:spPr>
        <a:xfrm>
          <a:off x="8801100" y="45243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200025</xdr:colOff>
      <xdr:row>26</xdr:row>
      <xdr:rowOff>0</xdr:rowOff>
    </xdr:from>
    <xdr:ext cx="257175" cy="257175"/>
    <xdr:sp macro="" textlink="">
      <xdr:nvSpPr>
        <xdr:cNvPr id="167" name="Shape 5">
          <a:extLst>
            <a:ext uri="{FF2B5EF4-FFF2-40B4-BE49-F238E27FC236}">
              <a16:creationId xmlns:a16="http://schemas.microsoft.com/office/drawing/2014/main" id="{73CF53ED-D944-44BA-85BB-AF506F090CF8}"/>
            </a:ext>
          </a:extLst>
        </xdr:cNvPr>
        <xdr:cNvSpPr/>
      </xdr:nvSpPr>
      <xdr:spPr>
        <a:xfrm>
          <a:off x="8782050" y="64293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66675</xdr:colOff>
      <xdr:row>26</xdr:row>
      <xdr:rowOff>0</xdr:rowOff>
    </xdr:from>
    <xdr:ext cx="257175" cy="257175"/>
    <xdr:sp macro="" textlink="">
      <xdr:nvSpPr>
        <xdr:cNvPr id="168" name="Shape 5">
          <a:extLst>
            <a:ext uri="{FF2B5EF4-FFF2-40B4-BE49-F238E27FC236}">
              <a16:creationId xmlns:a16="http://schemas.microsoft.com/office/drawing/2014/main" id="{596A92FF-5421-4322-BA0F-35C741D2B2C8}"/>
            </a:ext>
          </a:extLst>
        </xdr:cNvPr>
        <xdr:cNvSpPr/>
      </xdr:nvSpPr>
      <xdr:spPr>
        <a:xfrm>
          <a:off x="9153525" y="6429375"/>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38100</xdr:colOff>
      <xdr:row>33</xdr:row>
      <xdr:rowOff>0</xdr:rowOff>
    </xdr:from>
    <xdr:ext cx="257175" cy="257175"/>
    <xdr:sp macro="" textlink="">
      <xdr:nvSpPr>
        <xdr:cNvPr id="169" name="Shape 5">
          <a:extLst>
            <a:ext uri="{FF2B5EF4-FFF2-40B4-BE49-F238E27FC236}">
              <a16:creationId xmlns:a16="http://schemas.microsoft.com/office/drawing/2014/main" id="{C599FC92-D313-4D53-AC29-EECE2A0496E2}"/>
            </a:ext>
          </a:extLst>
        </xdr:cNvPr>
        <xdr:cNvSpPr/>
      </xdr:nvSpPr>
      <xdr:spPr>
        <a:xfrm>
          <a:off x="8115300" y="80962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0</xdr:colOff>
      <xdr:row>33</xdr:row>
      <xdr:rowOff>0</xdr:rowOff>
    </xdr:from>
    <xdr:ext cx="257175" cy="257175"/>
    <xdr:sp macro="" textlink="">
      <xdr:nvSpPr>
        <xdr:cNvPr id="170" name="Shape 5">
          <a:extLst>
            <a:ext uri="{FF2B5EF4-FFF2-40B4-BE49-F238E27FC236}">
              <a16:creationId xmlns:a16="http://schemas.microsoft.com/office/drawing/2014/main" id="{626F3A2B-C97E-4555-B953-6D5E945B7666}"/>
            </a:ext>
          </a:extLst>
        </xdr:cNvPr>
        <xdr:cNvSpPr/>
      </xdr:nvSpPr>
      <xdr:spPr>
        <a:xfrm>
          <a:off x="9086850" y="80962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57150</xdr:colOff>
      <xdr:row>37</xdr:row>
      <xdr:rowOff>0</xdr:rowOff>
    </xdr:from>
    <xdr:ext cx="257175" cy="257175"/>
    <xdr:sp macro="" textlink="">
      <xdr:nvSpPr>
        <xdr:cNvPr id="171" name="Shape 11">
          <a:extLst>
            <a:ext uri="{FF2B5EF4-FFF2-40B4-BE49-F238E27FC236}">
              <a16:creationId xmlns:a16="http://schemas.microsoft.com/office/drawing/2014/main" id="{A6F12312-03AF-4683-A5BF-4251FFDCFC43}"/>
            </a:ext>
          </a:extLst>
        </xdr:cNvPr>
        <xdr:cNvSpPr/>
      </xdr:nvSpPr>
      <xdr:spPr>
        <a:xfrm>
          <a:off x="8134350" y="90487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0</xdr:colOff>
      <xdr:row>37</xdr:row>
      <xdr:rowOff>0</xdr:rowOff>
    </xdr:from>
    <xdr:ext cx="257175" cy="257175"/>
    <xdr:sp macro="" textlink="">
      <xdr:nvSpPr>
        <xdr:cNvPr id="172" name="Shape 11">
          <a:extLst>
            <a:ext uri="{FF2B5EF4-FFF2-40B4-BE49-F238E27FC236}">
              <a16:creationId xmlns:a16="http://schemas.microsoft.com/office/drawing/2014/main" id="{BCC0C9D0-CC26-489A-9ED8-9C40E36556F3}"/>
            </a:ext>
          </a:extLst>
        </xdr:cNvPr>
        <xdr:cNvSpPr/>
      </xdr:nvSpPr>
      <xdr:spPr>
        <a:xfrm>
          <a:off x="9086850" y="9048750"/>
          <a:ext cx="257175" cy="257175"/>
        </a:xfrm>
        <a:prstGeom prst="ellipse">
          <a:avLst/>
        </a:prstGeom>
        <a:no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257175</xdr:colOff>
      <xdr:row>13</xdr:row>
      <xdr:rowOff>85725</xdr:rowOff>
    </xdr:from>
    <xdr:ext cx="3810000" cy="2076450"/>
    <xdr:sp macro="" textlink="">
      <xdr:nvSpPr>
        <xdr:cNvPr id="13" name="Shape 13">
          <a:extLst>
            <a:ext uri="{FF2B5EF4-FFF2-40B4-BE49-F238E27FC236}">
              <a16:creationId xmlns:a16="http://schemas.microsoft.com/office/drawing/2014/main" id="{00000000-0008-0000-0500-00000D000000}"/>
            </a:ext>
          </a:extLst>
        </xdr:cNvPr>
        <xdr:cNvSpPr/>
      </xdr:nvSpPr>
      <xdr:spPr>
        <a:xfrm>
          <a:off x="3450525" y="2751300"/>
          <a:ext cx="3790950" cy="205740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全体</a:t>
          </a:r>
          <a:endParaRPr sz="1400"/>
        </a:p>
      </xdr:txBody>
    </xdr:sp>
    <xdr:clientData fLocksWithSheet="0"/>
  </xdr:oneCellAnchor>
  <xdr:oneCellAnchor>
    <xdr:from>
      <xdr:col>3</xdr:col>
      <xdr:colOff>161925</xdr:colOff>
      <xdr:row>15</xdr:row>
      <xdr:rowOff>152400</xdr:rowOff>
    </xdr:from>
    <xdr:ext cx="1152525" cy="1028700"/>
    <xdr:sp macro="" textlink="">
      <xdr:nvSpPr>
        <xdr:cNvPr id="14" name="Shape 14">
          <a:extLst>
            <a:ext uri="{FF2B5EF4-FFF2-40B4-BE49-F238E27FC236}">
              <a16:creationId xmlns:a16="http://schemas.microsoft.com/office/drawing/2014/main" id="{00000000-0008-0000-0500-00000E000000}"/>
            </a:ext>
          </a:extLst>
        </xdr:cNvPr>
        <xdr:cNvSpPr/>
      </xdr:nvSpPr>
      <xdr:spPr>
        <a:xfrm>
          <a:off x="4779263" y="3275175"/>
          <a:ext cx="1133475" cy="1009650"/>
        </a:xfrm>
        <a:prstGeom prst="ellipse">
          <a:avLst/>
        </a:prstGeom>
        <a:solidFill>
          <a:schemeClr val="accent2"/>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lt1"/>
              </a:solidFill>
              <a:latin typeface="Arial"/>
              <a:ea typeface="Arial"/>
              <a:cs typeface="Arial"/>
              <a:sym typeface="Arial"/>
            </a:rPr>
            <a:t>　B→C</a:t>
          </a:r>
          <a:endParaRPr sz="1100"/>
        </a:p>
      </xdr:txBody>
    </xdr:sp>
    <xdr:clientData fLocksWithSheet="0"/>
  </xdr:oneCellAnchor>
  <xdr:oneCellAnchor>
    <xdr:from>
      <xdr:col>6</xdr:col>
      <xdr:colOff>47625</xdr:colOff>
      <xdr:row>15</xdr:row>
      <xdr:rowOff>95250</xdr:rowOff>
    </xdr:from>
    <xdr:ext cx="1171575" cy="1123950"/>
    <xdr:sp macro="" textlink="">
      <xdr:nvSpPr>
        <xdr:cNvPr id="15" name="Shape 15">
          <a:extLst>
            <a:ext uri="{FF2B5EF4-FFF2-40B4-BE49-F238E27FC236}">
              <a16:creationId xmlns:a16="http://schemas.microsoft.com/office/drawing/2014/main" id="{00000000-0008-0000-0500-00000F000000}"/>
            </a:ext>
          </a:extLst>
        </xdr:cNvPr>
        <xdr:cNvSpPr/>
      </xdr:nvSpPr>
      <xdr:spPr>
        <a:xfrm>
          <a:off x="4769738" y="3227550"/>
          <a:ext cx="1152525" cy="1104900"/>
        </a:xfrm>
        <a:prstGeom prst="ellipse">
          <a:avLst/>
        </a:prstGeom>
        <a:solidFill>
          <a:schemeClr val="accent5"/>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lt1"/>
              </a:solidFill>
              <a:latin typeface="Arial"/>
              <a:ea typeface="Arial"/>
              <a:cs typeface="Arial"/>
              <a:sym typeface="Arial"/>
            </a:rPr>
            <a:t>　　C→B</a:t>
          </a:r>
          <a:endParaRPr sz="1100"/>
        </a:p>
      </xdr:txBody>
    </xdr:sp>
    <xdr:clientData fLocksWithSheet="0"/>
  </xdr:oneCellAnchor>
  <xdr:oneCellAnchor>
    <xdr:from>
      <xdr:col>4</xdr:col>
      <xdr:colOff>352425</xdr:colOff>
      <xdr:row>17</xdr:row>
      <xdr:rowOff>219075</xdr:rowOff>
    </xdr:from>
    <xdr:ext cx="1257300" cy="657225"/>
    <xdr:sp macro="" textlink="">
      <xdr:nvSpPr>
        <xdr:cNvPr id="16" name="Shape 16">
          <a:extLst>
            <a:ext uri="{FF2B5EF4-FFF2-40B4-BE49-F238E27FC236}">
              <a16:creationId xmlns:a16="http://schemas.microsoft.com/office/drawing/2014/main" id="{00000000-0008-0000-0500-000010000000}"/>
            </a:ext>
          </a:extLst>
        </xdr:cNvPr>
        <xdr:cNvSpPr/>
      </xdr:nvSpPr>
      <xdr:spPr>
        <a:xfrm>
          <a:off x="4726875" y="3460913"/>
          <a:ext cx="1238250" cy="638175"/>
        </a:xfrm>
        <a:prstGeom prst="ellipse">
          <a:avLst/>
        </a:prstGeom>
        <a:solidFill>
          <a:srgbClr val="B3E5A0">
            <a:alpha val="50196"/>
          </a:srgbClr>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　　F→E</a:t>
          </a:r>
          <a:endParaRPr sz="1100"/>
        </a:p>
      </xdr:txBody>
    </xdr:sp>
    <xdr:clientData fLocksWithSheet="0"/>
  </xdr:oneCellAnchor>
  <xdr:oneCellAnchor>
    <xdr:from>
      <xdr:col>4</xdr:col>
      <xdr:colOff>285750</xdr:colOff>
      <xdr:row>15</xdr:row>
      <xdr:rowOff>19050</xdr:rowOff>
    </xdr:from>
    <xdr:ext cx="1352550" cy="619125"/>
    <xdr:sp macro="" textlink="">
      <xdr:nvSpPr>
        <xdr:cNvPr id="17" name="Shape 17">
          <a:extLst>
            <a:ext uri="{FF2B5EF4-FFF2-40B4-BE49-F238E27FC236}">
              <a16:creationId xmlns:a16="http://schemas.microsoft.com/office/drawing/2014/main" id="{00000000-0008-0000-0500-000011000000}"/>
            </a:ext>
          </a:extLst>
        </xdr:cNvPr>
        <xdr:cNvSpPr/>
      </xdr:nvSpPr>
      <xdr:spPr>
        <a:xfrm>
          <a:off x="4679250" y="3479963"/>
          <a:ext cx="1333500" cy="600075"/>
        </a:xfrm>
        <a:prstGeom prst="ellipse">
          <a:avLst/>
        </a:prstGeom>
        <a:solidFill>
          <a:srgbClr val="82CAEB">
            <a:alpha val="50196"/>
          </a:srgbClr>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　　E→F</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266700</xdr:colOff>
      <xdr:row>7</xdr:row>
      <xdr:rowOff>104775</xdr:rowOff>
    </xdr:from>
    <xdr:ext cx="476250" cy="628650"/>
    <xdr:sp macro="" textlink="">
      <xdr:nvSpPr>
        <xdr:cNvPr id="18" name="Shape 18">
          <a:extLst>
            <a:ext uri="{FF2B5EF4-FFF2-40B4-BE49-F238E27FC236}">
              <a16:creationId xmlns:a16="http://schemas.microsoft.com/office/drawing/2014/main" id="{00000000-0008-0000-0600-000012000000}"/>
            </a:ext>
          </a:extLst>
        </xdr:cNvPr>
        <xdr:cNvSpPr/>
      </xdr:nvSpPr>
      <xdr:spPr>
        <a:xfrm>
          <a:off x="5117400" y="3475200"/>
          <a:ext cx="457200" cy="60960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1</a:t>
          </a:r>
          <a:endParaRPr sz="1100"/>
        </a:p>
      </xdr:txBody>
    </xdr:sp>
    <xdr:clientData fLocksWithSheet="0"/>
  </xdr:oneCellAnchor>
  <xdr:oneCellAnchor>
    <xdr:from>
      <xdr:col>8</xdr:col>
      <xdr:colOff>85725</xdr:colOff>
      <xdr:row>12</xdr:row>
      <xdr:rowOff>57150</xdr:rowOff>
    </xdr:from>
    <xdr:ext cx="590550" cy="638175"/>
    <xdr:sp macro="" textlink="">
      <xdr:nvSpPr>
        <xdr:cNvPr id="19" name="Shape 19">
          <a:extLst>
            <a:ext uri="{FF2B5EF4-FFF2-40B4-BE49-F238E27FC236}">
              <a16:creationId xmlns:a16="http://schemas.microsoft.com/office/drawing/2014/main" id="{00000000-0008-0000-0600-000013000000}"/>
            </a:ext>
          </a:extLst>
        </xdr:cNvPr>
        <xdr:cNvSpPr/>
      </xdr:nvSpPr>
      <xdr:spPr>
        <a:xfrm>
          <a:off x="5060250" y="3470438"/>
          <a:ext cx="571500" cy="619125"/>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4</a:t>
          </a:r>
          <a:endParaRPr sz="1100"/>
        </a:p>
      </xdr:txBody>
    </xdr:sp>
    <xdr:clientData fLocksWithSheet="0"/>
  </xdr:oneCellAnchor>
  <xdr:oneCellAnchor>
    <xdr:from>
      <xdr:col>4</xdr:col>
      <xdr:colOff>466724</xdr:colOff>
      <xdr:row>12</xdr:row>
      <xdr:rowOff>95250</xdr:rowOff>
    </xdr:from>
    <xdr:ext cx="504825" cy="628650"/>
    <xdr:sp macro="" textlink="">
      <xdr:nvSpPr>
        <xdr:cNvPr id="20" name="Shape 20">
          <a:extLst>
            <a:ext uri="{FF2B5EF4-FFF2-40B4-BE49-F238E27FC236}">
              <a16:creationId xmlns:a16="http://schemas.microsoft.com/office/drawing/2014/main" id="{00000000-0008-0000-0600-000014000000}"/>
            </a:ext>
          </a:extLst>
        </xdr:cNvPr>
        <xdr:cNvSpPr/>
      </xdr:nvSpPr>
      <xdr:spPr>
        <a:xfrm>
          <a:off x="3019424" y="2952750"/>
          <a:ext cx="504825" cy="62865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10</a:t>
          </a:r>
          <a:endParaRPr sz="1100"/>
        </a:p>
      </xdr:txBody>
    </xdr:sp>
    <xdr:clientData fLocksWithSheet="0"/>
  </xdr:oneCellAnchor>
  <xdr:oneCellAnchor>
    <xdr:from>
      <xdr:col>6</xdr:col>
      <xdr:colOff>276225</xdr:colOff>
      <xdr:row>17</xdr:row>
      <xdr:rowOff>28575</xdr:rowOff>
    </xdr:from>
    <xdr:ext cx="495300" cy="657225"/>
    <xdr:sp macro="" textlink="">
      <xdr:nvSpPr>
        <xdr:cNvPr id="21" name="Shape 21">
          <a:extLst>
            <a:ext uri="{FF2B5EF4-FFF2-40B4-BE49-F238E27FC236}">
              <a16:creationId xmlns:a16="http://schemas.microsoft.com/office/drawing/2014/main" id="{00000000-0008-0000-0600-000015000000}"/>
            </a:ext>
          </a:extLst>
        </xdr:cNvPr>
        <xdr:cNvSpPr/>
      </xdr:nvSpPr>
      <xdr:spPr>
        <a:xfrm>
          <a:off x="5107875" y="3460913"/>
          <a:ext cx="476250" cy="638175"/>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7</a:t>
          </a:r>
          <a:endParaRPr sz="1100"/>
        </a:p>
      </xdr:txBody>
    </xdr:sp>
    <xdr:clientData fLocksWithSheet="0"/>
  </xdr:oneCellAnchor>
  <xdr:oneCellAnchor>
    <xdr:from>
      <xdr:col>7</xdr:col>
      <xdr:colOff>142875</xdr:colOff>
      <xdr:row>8</xdr:row>
      <xdr:rowOff>66675</xdr:rowOff>
    </xdr:from>
    <xdr:ext cx="542925" cy="581025"/>
    <xdr:sp macro="" textlink="">
      <xdr:nvSpPr>
        <xdr:cNvPr id="22" name="Shape 22">
          <a:extLst>
            <a:ext uri="{FF2B5EF4-FFF2-40B4-BE49-F238E27FC236}">
              <a16:creationId xmlns:a16="http://schemas.microsoft.com/office/drawing/2014/main" id="{00000000-0008-0000-0600-000016000000}"/>
            </a:ext>
          </a:extLst>
        </xdr:cNvPr>
        <xdr:cNvSpPr/>
      </xdr:nvSpPr>
      <xdr:spPr>
        <a:xfrm>
          <a:off x="5084063" y="3499013"/>
          <a:ext cx="523875" cy="561975"/>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2</a:t>
          </a:r>
          <a:endParaRPr sz="1100"/>
        </a:p>
      </xdr:txBody>
    </xdr:sp>
    <xdr:clientData fLocksWithSheet="0"/>
  </xdr:oneCellAnchor>
  <xdr:oneCellAnchor>
    <xdr:from>
      <xdr:col>7</xdr:col>
      <xdr:colOff>609600</xdr:colOff>
      <xdr:row>9</xdr:row>
      <xdr:rowOff>200025</xdr:rowOff>
    </xdr:from>
    <xdr:ext cx="466725" cy="609600"/>
    <xdr:sp macro="" textlink="">
      <xdr:nvSpPr>
        <xdr:cNvPr id="23" name="Shape 23">
          <a:extLst>
            <a:ext uri="{FF2B5EF4-FFF2-40B4-BE49-F238E27FC236}">
              <a16:creationId xmlns:a16="http://schemas.microsoft.com/office/drawing/2014/main" id="{00000000-0008-0000-0600-000017000000}"/>
            </a:ext>
          </a:extLst>
        </xdr:cNvPr>
        <xdr:cNvSpPr/>
      </xdr:nvSpPr>
      <xdr:spPr>
        <a:xfrm>
          <a:off x="5122163" y="3484725"/>
          <a:ext cx="447675" cy="59055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3</a:t>
          </a:r>
          <a:endParaRPr sz="1100"/>
        </a:p>
      </xdr:txBody>
    </xdr:sp>
    <xdr:clientData fLocksWithSheet="0"/>
  </xdr:oneCellAnchor>
  <xdr:oneCellAnchor>
    <xdr:from>
      <xdr:col>7</xdr:col>
      <xdr:colOff>647700</xdr:colOff>
      <xdr:row>14</xdr:row>
      <xdr:rowOff>200025</xdr:rowOff>
    </xdr:from>
    <xdr:ext cx="466725" cy="609600"/>
    <xdr:sp macro="" textlink="">
      <xdr:nvSpPr>
        <xdr:cNvPr id="24" name="Shape 24">
          <a:extLst>
            <a:ext uri="{FF2B5EF4-FFF2-40B4-BE49-F238E27FC236}">
              <a16:creationId xmlns:a16="http://schemas.microsoft.com/office/drawing/2014/main" id="{00000000-0008-0000-0600-000018000000}"/>
            </a:ext>
          </a:extLst>
        </xdr:cNvPr>
        <xdr:cNvSpPr/>
      </xdr:nvSpPr>
      <xdr:spPr>
        <a:xfrm>
          <a:off x="5122163" y="3484725"/>
          <a:ext cx="447675" cy="59055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5</a:t>
          </a:r>
          <a:endParaRPr sz="1100"/>
        </a:p>
      </xdr:txBody>
    </xdr:sp>
    <xdr:clientData fLocksWithSheet="0"/>
  </xdr:oneCellAnchor>
  <xdr:oneCellAnchor>
    <xdr:from>
      <xdr:col>7</xdr:col>
      <xdr:colOff>180975</xdr:colOff>
      <xdr:row>16</xdr:row>
      <xdr:rowOff>104775</xdr:rowOff>
    </xdr:from>
    <xdr:ext cx="476250" cy="628650"/>
    <xdr:sp macro="" textlink="">
      <xdr:nvSpPr>
        <xdr:cNvPr id="25" name="Shape 25">
          <a:extLst>
            <a:ext uri="{FF2B5EF4-FFF2-40B4-BE49-F238E27FC236}">
              <a16:creationId xmlns:a16="http://schemas.microsoft.com/office/drawing/2014/main" id="{00000000-0008-0000-0600-000019000000}"/>
            </a:ext>
          </a:extLst>
        </xdr:cNvPr>
        <xdr:cNvSpPr/>
      </xdr:nvSpPr>
      <xdr:spPr>
        <a:xfrm>
          <a:off x="5117400" y="3475200"/>
          <a:ext cx="457200" cy="60960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6</a:t>
          </a:r>
          <a:endParaRPr sz="1100"/>
        </a:p>
      </xdr:txBody>
    </xdr:sp>
    <xdr:clientData fLocksWithSheet="0"/>
  </xdr:oneCellAnchor>
  <xdr:oneCellAnchor>
    <xdr:from>
      <xdr:col>5</xdr:col>
      <xdr:colOff>428625</xdr:colOff>
      <xdr:row>16</xdr:row>
      <xdr:rowOff>76200</xdr:rowOff>
    </xdr:from>
    <xdr:ext cx="485775" cy="666750"/>
    <xdr:sp macro="" textlink="">
      <xdr:nvSpPr>
        <xdr:cNvPr id="26" name="Shape 26">
          <a:extLst>
            <a:ext uri="{FF2B5EF4-FFF2-40B4-BE49-F238E27FC236}">
              <a16:creationId xmlns:a16="http://schemas.microsoft.com/office/drawing/2014/main" id="{00000000-0008-0000-0600-00001A000000}"/>
            </a:ext>
          </a:extLst>
        </xdr:cNvPr>
        <xdr:cNvSpPr/>
      </xdr:nvSpPr>
      <xdr:spPr>
        <a:xfrm>
          <a:off x="5112638" y="3456150"/>
          <a:ext cx="466725" cy="64770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8</a:t>
          </a:r>
          <a:endParaRPr sz="1100"/>
        </a:p>
      </xdr:txBody>
    </xdr:sp>
    <xdr:clientData fLocksWithSheet="0"/>
  </xdr:oneCellAnchor>
  <xdr:oneCellAnchor>
    <xdr:from>
      <xdr:col>4</xdr:col>
      <xdr:colOff>638175</xdr:colOff>
      <xdr:row>14</xdr:row>
      <xdr:rowOff>219075</xdr:rowOff>
    </xdr:from>
    <xdr:ext cx="485775" cy="638175"/>
    <xdr:sp macro="" textlink="">
      <xdr:nvSpPr>
        <xdr:cNvPr id="27" name="Shape 27">
          <a:extLst>
            <a:ext uri="{FF2B5EF4-FFF2-40B4-BE49-F238E27FC236}">
              <a16:creationId xmlns:a16="http://schemas.microsoft.com/office/drawing/2014/main" id="{00000000-0008-0000-0600-00001B000000}"/>
            </a:ext>
          </a:extLst>
        </xdr:cNvPr>
        <xdr:cNvSpPr/>
      </xdr:nvSpPr>
      <xdr:spPr>
        <a:xfrm>
          <a:off x="5112638" y="3470438"/>
          <a:ext cx="466725" cy="619125"/>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9</a:t>
          </a:r>
          <a:endParaRPr sz="1100"/>
        </a:p>
      </xdr:txBody>
    </xdr:sp>
    <xdr:clientData fLocksWithSheet="0"/>
  </xdr:oneCellAnchor>
  <xdr:oneCellAnchor>
    <xdr:from>
      <xdr:col>4</xdr:col>
      <xdr:colOff>581025</xdr:colOff>
      <xdr:row>9</xdr:row>
      <xdr:rowOff>180975</xdr:rowOff>
    </xdr:from>
    <xdr:ext cx="495300" cy="609600"/>
    <xdr:sp macro="" textlink="">
      <xdr:nvSpPr>
        <xdr:cNvPr id="28" name="Shape 28">
          <a:extLst>
            <a:ext uri="{FF2B5EF4-FFF2-40B4-BE49-F238E27FC236}">
              <a16:creationId xmlns:a16="http://schemas.microsoft.com/office/drawing/2014/main" id="{00000000-0008-0000-0600-00001C000000}"/>
            </a:ext>
          </a:extLst>
        </xdr:cNvPr>
        <xdr:cNvSpPr/>
      </xdr:nvSpPr>
      <xdr:spPr>
        <a:xfrm>
          <a:off x="5122163" y="3484725"/>
          <a:ext cx="447675" cy="59055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11</a:t>
          </a:r>
          <a:endParaRPr sz="1100"/>
        </a:p>
      </xdr:txBody>
    </xdr:sp>
    <xdr:clientData fLocksWithSheet="0"/>
  </xdr:oneCellAnchor>
  <xdr:oneCellAnchor>
    <xdr:from>
      <xdr:col>5</xdr:col>
      <xdr:colOff>342900</xdr:colOff>
      <xdr:row>8</xdr:row>
      <xdr:rowOff>9525</xdr:rowOff>
    </xdr:from>
    <xdr:ext cx="485775" cy="628650"/>
    <xdr:sp macro="" textlink="">
      <xdr:nvSpPr>
        <xdr:cNvPr id="29" name="Shape 29">
          <a:extLst>
            <a:ext uri="{FF2B5EF4-FFF2-40B4-BE49-F238E27FC236}">
              <a16:creationId xmlns:a16="http://schemas.microsoft.com/office/drawing/2014/main" id="{00000000-0008-0000-0600-00001D000000}"/>
            </a:ext>
          </a:extLst>
        </xdr:cNvPr>
        <xdr:cNvSpPr/>
      </xdr:nvSpPr>
      <xdr:spPr>
        <a:xfrm>
          <a:off x="5112638" y="3475200"/>
          <a:ext cx="466725" cy="609600"/>
        </a:xfrm>
        <a:prstGeom prst="ellipse">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Arial"/>
              <a:ea typeface="Arial"/>
              <a:cs typeface="Arial"/>
              <a:sym typeface="Arial"/>
            </a:rPr>
            <a:t>12</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25</xdr:col>
      <xdr:colOff>333375</xdr:colOff>
      <xdr:row>12</xdr:row>
      <xdr:rowOff>219075</xdr:rowOff>
    </xdr:from>
    <xdr:to>
      <xdr:col>26</xdr:col>
      <xdr:colOff>19050</xdr:colOff>
      <xdr:row>13</xdr:row>
      <xdr:rowOff>47625</xdr:rowOff>
    </xdr:to>
    <xdr:sp macro="" textlink="">
      <xdr:nvSpPr>
        <xdr:cNvPr id="3" name="楕円 2">
          <a:extLst>
            <a:ext uri="{FF2B5EF4-FFF2-40B4-BE49-F238E27FC236}">
              <a16:creationId xmlns:a16="http://schemas.microsoft.com/office/drawing/2014/main" id="{8BCA9FE9-6FF1-00BC-F697-BF31D8B9B383}"/>
            </a:ext>
          </a:extLst>
        </xdr:cNvPr>
        <xdr:cNvSpPr/>
      </xdr:nvSpPr>
      <xdr:spPr>
        <a:xfrm>
          <a:off x="13716000" y="3076575"/>
          <a:ext cx="66675" cy="666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142875</xdr:colOff>
      <xdr:row>0</xdr:row>
      <xdr:rowOff>171450</xdr:rowOff>
    </xdr:from>
    <xdr:to>
      <xdr:col>15</xdr:col>
      <xdr:colOff>95250</xdr:colOff>
      <xdr:row>4</xdr:row>
      <xdr:rowOff>180975</xdr:rowOff>
    </xdr:to>
    <xdr:sp macro="" textlink="">
      <xdr:nvSpPr>
        <xdr:cNvPr id="3" name="楕円 2">
          <a:extLst>
            <a:ext uri="{FF2B5EF4-FFF2-40B4-BE49-F238E27FC236}">
              <a16:creationId xmlns:a16="http://schemas.microsoft.com/office/drawing/2014/main" id="{AA619376-A753-7021-380D-1DB415ECF23D}"/>
            </a:ext>
          </a:extLst>
        </xdr:cNvPr>
        <xdr:cNvSpPr/>
      </xdr:nvSpPr>
      <xdr:spPr>
        <a:xfrm>
          <a:off x="6705600" y="647700"/>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104775</xdr:colOff>
      <xdr:row>0</xdr:row>
      <xdr:rowOff>200025</xdr:rowOff>
    </xdr:from>
    <xdr:to>
      <xdr:col>17</xdr:col>
      <xdr:colOff>57150</xdr:colOff>
      <xdr:row>4</xdr:row>
      <xdr:rowOff>209550</xdr:rowOff>
    </xdr:to>
    <xdr:sp macro="" textlink="">
      <xdr:nvSpPr>
        <xdr:cNvPr id="4" name="楕円 3">
          <a:extLst>
            <a:ext uri="{FF2B5EF4-FFF2-40B4-BE49-F238E27FC236}">
              <a16:creationId xmlns:a16="http://schemas.microsoft.com/office/drawing/2014/main" id="{5465BD75-6E5A-4A56-BF0D-30411E5D9DE9}"/>
            </a:ext>
          </a:extLst>
        </xdr:cNvPr>
        <xdr:cNvSpPr/>
      </xdr:nvSpPr>
      <xdr:spPr>
        <a:xfrm>
          <a:off x="7677150" y="67627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57150</xdr:colOff>
      <xdr:row>0</xdr:row>
      <xdr:rowOff>200025</xdr:rowOff>
    </xdr:from>
    <xdr:to>
      <xdr:col>19</xdr:col>
      <xdr:colOff>9525</xdr:colOff>
      <xdr:row>4</xdr:row>
      <xdr:rowOff>209550</xdr:rowOff>
    </xdr:to>
    <xdr:sp macro="" textlink="">
      <xdr:nvSpPr>
        <xdr:cNvPr id="5" name="楕円 4">
          <a:extLst>
            <a:ext uri="{FF2B5EF4-FFF2-40B4-BE49-F238E27FC236}">
              <a16:creationId xmlns:a16="http://schemas.microsoft.com/office/drawing/2014/main" id="{85318B82-929A-4065-BA58-C1F38751499E}"/>
            </a:ext>
          </a:extLst>
        </xdr:cNvPr>
        <xdr:cNvSpPr/>
      </xdr:nvSpPr>
      <xdr:spPr>
        <a:xfrm>
          <a:off x="8639175" y="67627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xdr:colOff>
      <xdr:row>1</xdr:row>
      <xdr:rowOff>19050</xdr:rowOff>
    </xdr:from>
    <xdr:to>
      <xdr:col>20</xdr:col>
      <xdr:colOff>466725</xdr:colOff>
      <xdr:row>5</xdr:row>
      <xdr:rowOff>28575</xdr:rowOff>
    </xdr:to>
    <xdr:sp macro="" textlink="">
      <xdr:nvSpPr>
        <xdr:cNvPr id="6" name="楕円 5">
          <a:extLst>
            <a:ext uri="{FF2B5EF4-FFF2-40B4-BE49-F238E27FC236}">
              <a16:creationId xmlns:a16="http://schemas.microsoft.com/office/drawing/2014/main" id="{DFE2AA63-87FB-4011-B586-7EE487C5DC29}"/>
            </a:ext>
          </a:extLst>
        </xdr:cNvPr>
        <xdr:cNvSpPr/>
      </xdr:nvSpPr>
      <xdr:spPr>
        <a:xfrm>
          <a:off x="9601200" y="73342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endParaRPr kumimoji="1" lang="ja-JP" altLang="en-US" sz="1100"/>
        </a:p>
      </xdr:txBody>
    </xdr:sp>
    <xdr:clientData/>
  </xdr:twoCellAnchor>
  <xdr:twoCellAnchor>
    <xdr:from>
      <xdr:col>12</xdr:col>
      <xdr:colOff>133350</xdr:colOff>
      <xdr:row>2</xdr:row>
      <xdr:rowOff>219075</xdr:rowOff>
    </xdr:from>
    <xdr:to>
      <xdr:col>21</xdr:col>
      <xdr:colOff>485775</xdr:colOff>
      <xdr:row>2</xdr:row>
      <xdr:rowOff>219075</xdr:rowOff>
    </xdr:to>
    <xdr:cxnSp macro="">
      <xdr:nvCxnSpPr>
        <xdr:cNvPr id="8" name="直線コネクタ 7">
          <a:extLst>
            <a:ext uri="{FF2B5EF4-FFF2-40B4-BE49-F238E27FC236}">
              <a16:creationId xmlns:a16="http://schemas.microsoft.com/office/drawing/2014/main" id="{FB0458F7-8922-FDAF-E3F0-4CA0BED226FA}"/>
            </a:ext>
          </a:extLst>
        </xdr:cNvPr>
        <xdr:cNvCxnSpPr/>
      </xdr:nvCxnSpPr>
      <xdr:spPr>
        <a:xfrm>
          <a:off x="6191250" y="1171575"/>
          <a:ext cx="4895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142875</xdr:colOff>
      <xdr:row>8</xdr:row>
      <xdr:rowOff>171450</xdr:rowOff>
    </xdr:from>
    <xdr:to>
      <xdr:col>4</xdr:col>
      <xdr:colOff>95250</xdr:colOff>
      <xdr:row>12</xdr:row>
      <xdr:rowOff>180975</xdr:rowOff>
    </xdr:to>
    <xdr:sp macro="" textlink="">
      <xdr:nvSpPr>
        <xdr:cNvPr id="9" name="楕円 8">
          <a:extLst>
            <a:ext uri="{FF2B5EF4-FFF2-40B4-BE49-F238E27FC236}">
              <a16:creationId xmlns:a16="http://schemas.microsoft.com/office/drawing/2014/main" id="{4B021051-8C0A-4865-924D-5FE8AC6BA935}"/>
            </a:ext>
          </a:extLst>
        </xdr:cNvPr>
        <xdr:cNvSpPr/>
      </xdr:nvSpPr>
      <xdr:spPr>
        <a:xfrm>
          <a:off x="6705600" y="171450"/>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133350</xdr:colOff>
      <xdr:row>10</xdr:row>
      <xdr:rowOff>219075</xdr:rowOff>
    </xdr:from>
    <xdr:to>
      <xdr:col>5</xdr:col>
      <xdr:colOff>161925</xdr:colOff>
      <xdr:row>10</xdr:row>
      <xdr:rowOff>219075</xdr:rowOff>
    </xdr:to>
    <xdr:cxnSp macro="">
      <xdr:nvCxnSpPr>
        <xdr:cNvPr id="13" name="直線コネクタ 12">
          <a:extLst>
            <a:ext uri="{FF2B5EF4-FFF2-40B4-BE49-F238E27FC236}">
              <a16:creationId xmlns:a16="http://schemas.microsoft.com/office/drawing/2014/main" id="{3868BC1E-12A6-4EFF-AAC7-CE66D999C875}"/>
            </a:ext>
          </a:extLst>
        </xdr:cNvPr>
        <xdr:cNvCxnSpPr/>
      </xdr:nvCxnSpPr>
      <xdr:spPr>
        <a:xfrm>
          <a:off x="638175" y="2600325"/>
          <a:ext cx="20478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142875</xdr:colOff>
      <xdr:row>15</xdr:row>
      <xdr:rowOff>171450</xdr:rowOff>
    </xdr:from>
    <xdr:to>
      <xdr:col>4</xdr:col>
      <xdr:colOff>95250</xdr:colOff>
      <xdr:row>19</xdr:row>
      <xdr:rowOff>180975</xdr:rowOff>
    </xdr:to>
    <xdr:sp macro="" textlink="">
      <xdr:nvSpPr>
        <xdr:cNvPr id="15" name="楕円 14">
          <a:extLst>
            <a:ext uri="{FF2B5EF4-FFF2-40B4-BE49-F238E27FC236}">
              <a16:creationId xmlns:a16="http://schemas.microsoft.com/office/drawing/2014/main" id="{5990D821-3608-4D72-8D66-26DFC3ABF2F3}"/>
            </a:ext>
          </a:extLst>
        </xdr:cNvPr>
        <xdr:cNvSpPr/>
      </xdr:nvSpPr>
      <xdr:spPr>
        <a:xfrm>
          <a:off x="6705600" y="171450"/>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104775</xdr:colOff>
      <xdr:row>15</xdr:row>
      <xdr:rowOff>200025</xdr:rowOff>
    </xdr:from>
    <xdr:to>
      <xdr:col>6</xdr:col>
      <xdr:colOff>57150</xdr:colOff>
      <xdr:row>19</xdr:row>
      <xdr:rowOff>209550</xdr:rowOff>
    </xdr:to>
    <xdr:sp macro="" textlink="">
      <xdr:nvSpPr>
        <xdr:cNvPr id="16" name="楕円 15">
          <a:extLst>
            <a:ext uri="{FF2B5EF4-FFF2-40B4-BE49-F238E27FC236}">
              <a16:creationId xmlns:a16="http://schemas.microsoft.com/office/drawing/2014/main" id="{EC51C9EE-7073-4646-8D8D-7D5C65E04979}"/>
            </a:ext>
          </a:extLst>
        </xdr:cNvPr>
        <xdr:cNvSpPr/>
      </xdr:nvSpPr>
      <xdr:spPr>
        <a:xfrm>
          <a:off x="7677150" y="20002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133350</xdr:colOff>
      <xdr:row>17</xdr:row>
      <xdr:rowOff>219075</xdr:rowOff>
    </xdr:from>
    <xdr:to>
      <xdr:col>7</xdr:col>
      <xdr:colOff>28575</xdr:colOff>
      <xdr:row>17</xdr:row>
      <xdr:rowOff>219075</xdr:rowOff>
    </xdr:to>
    <xdr:cxnSp macro="">
      <xdr:nvCxnSpPr>
        <xdr:cNvPr id="19" name="直線コネクタ 18">
          <a:extLst>
            <a:ext uri="{FF2B5EF4-FFF2-40B4-BE49-F238E27FC236}">
              <a16:creationId xmlns:a16="http://schemas.microsoft.com/office/drawing/2014/main" id="{4C2B4EC3-9838-43E8-B24F-DBA8F63E4720}"/>
            </a:ext>
          </a:extLst>
        </xdr:cNvPr>
        <xdr:cNvCxnSpPr/>
      </xdr:nvCxnSpPr>
      <xdr:spPr>
        <a:xfrm>
          <a:off x="638175" y="4029075"/>
          <a:ext cx="29241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142875</xdr:colOff>
      <xdr:row>23</xdr:row>
      <xdr:rowOff>171450</xdr:rowOff>
    </xdr:from>
    <xdr:to>
      <xdr:col>4</xdr:col>
      <xdr:colOff>95250</xdr:colOff>
      <xdr:row>27</xdr:row>
      <xdr:rowOff>180975</xdr:rowOff>
    </xdr:to>
    <xdr:sp macro="" textlink="">
      <xdr:nvSpPr>
        <xdr:cNvPr id="21" name="楕円 20">
          <a:extLst>
            <a:ext uri="{FF2B5EF4-FFF2-40B4-BE49-F238E27FC236}">
              <a16:creationId xmlns:a16="http://schemas.microsoft.com/office/drawing/2014/main" id="{A65FEFE8-9112-4468-92E1-8F30995FE1F9}"/>
            </a:ext>
          </a:extLst>
        </xdr:cNvPr>
        <xdr:cNvSpPr/>
      </xdr:nvSpPr>
      <xdr:spPr>
        <a:xfrm>
          <a:off x="6705600" y="171450"/>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104775</xdr:colOff>
      <xdr:row>23</xdr:row>
      <xdr:rowOff>200025</xdr:rowOff>
    </xdr:from>
    <xdr:to>
      <xdr:col>6</xdr:col>
      <xdr:colOff>57150</xdr:colOff>
      <xdr:row>27</xdr:row>
      <xdr:rowOff>209550</xdr:rowOff>
    </xdr:to>
    <xdr:sp macro="" textlink="">
      <xdr:nvSpPr>
        <xdr:cNvPr id="22" name="楕円 21">
          <a:extLst>
            <a:ext uri="{FF2B5EF4-FFF2-40B4-BE49-F238E27FC236}">
              <a16:creationId xmlns:a16="http://schemas.microsoft.com/office/drawing/2014/main" id="{3BADC054-93C3-4B65-BD81-E26A330EAB90}"/>
            </a:ext>
          </a:extLst>
        </xdr:cNvPr>
        <xdr:cNvSpPr/>
      </xdr:nvSpPr>
      <xdr:spPr>
        <a:xfrm>
          <a:off x="7677150" y="20002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57150</xdr:colOff>
      <xdr:row>23</xdr:row>
      <xdr:rowOff>200025</xdr:rowOff>
    </xdr:from>
    <xdr:to>
      <xdr:col>8</xdr:col>
      <xdr:colOff>9525</xdr:colOff>
      <xdr:row>27</xdr:row>
      <xdr:rowOff>209550</xdr:rowOff>
    </xdr:to>
    <xdr:sp macro="" textlink="">
      <xdr:nvSpPr>
        <xdr:cNvPr id="23" name="楕円 22">
          <a:extLst>
            <a:ext uri="{FF2B5EF4-FFF2-40B4-BE49-F238E27FC236}">
              <a16:creationId xmlns:a16="http://schemas.microsoft.com/office/drawing/2014/main" id="{E520809B-B56F-476A-BCE5-BA86B98C90C9}"/>
            </a:ext>
          </a:extLst>
        </xdr:cNvPr>
        <xdr:cNvSpPr/>
      </xdr:nvSpPr>
      <xdr:spPr>
        <a:xfrm>
          <a:off x="8639175" y="200025"/>
          <a:ext cx="962025" cy="9620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133350</xdr:colOff>
      <xdr:row>25</xdr:row>
      <xdr:rowOff>219075</xdr:rowOff>
    </xdr:from>
    <xdr:to>
      <xdr:col>8</xdr:col>
      <xdr:colOff>171450</xdr:colOff>
      <xdr:row>25</xdr:row>
      <xdr:rowOff>219075</xdr:rowOff>
    </xdr:to>
    <xdr:cxnSp macro="">
      <xdr:nvCxnSpPr>
        <xdr:cNvPr id="25" name="直線コネクタ 24">
          <a:extLst>
            <a:ext uri="{FF2B5EF4-FFF2-40B4-BE49-F238E27FC236}">
              <a16:creationId xmlns:a16="http://schemas.microsoft.com/office/drawing/2014/main" id="{1199A45B-1EE3-4E3C-AF63-21F35E4D550A}"/>
            </a:ext>
          </a:extLst>
        </xdr:cNvPr>
        <xdr:cNvCxnSpPr/>
      </xdr:nvCxnSpPr>
      <xdr:spPr>
        <a:xfrm>
          <a:off x="638175" y="5934075"/>
          <a:ext cx="35718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600075</xdr:colOff>
      <xdr:row>20</xdr:row>
      <xdr:rowOff>180975</xdr:rowOff>
    </xdr:from>
    <xdr:to>
      <xdr:col>6</xdr:col>
      <xdr:colOff>447675</xdr:colOff>
      <xdr:row>26</xdr:row>
      <xdr:rowOff>158736</xdr:rowOff>
    </xdr:to>
    <xdr:sp macro="" textlink="">
      <xdr:nvSpPr>
        <xdr:cNvPr id="4" name="フリーフォーム: 図形 3">
          <a:extLst>
            <a:ext uri="{FF2B5EF4-FFF2-40B4-BE49-F238E27FC236}">
              <a16:creationId xmlns:a16="http://schemas.microsoft.com/office/drawing/2014/main" id="{74A0D236-F84C-470C-D552-63FA3BF81C38}"/>
            </a:ext>
          </a:extLst>
        </xdr:cNvPr>
        <xdr:cNvSpPr/>
      </xdr:nvSpPr>
      <xdr:spPr>
        <a:xfrm>
          <a:off x="1914525" y="4467225"/>
          <a:ext cx="2895600" cy="1120761"/>
        </a:xfrm>
        <a:custGeom>
          <a:avLst/>
          <a:gdLst>
            <a:gd name="connsiteX0" fmla="*/ 0 w 2895600"/>
            <a:gd name="connsiteY0" fmla="*/ 0 h 1120761"/>
            <a:gd name="connsiteX1" fmla="*/ 1247775 w 2895600"/>
            <a:gd name="connsiteY1" fmla="*/ 1114425 h 1120761"/>
            <a:gd name="connsiteX2" fmla="*/ 2895600 w 2895600"/>
            <a:gd name="connsiteY2" fmla="*/ 371475 h 1120761"/>
          </a:gdLst>
          <a:ahLst/>
          <a:cxnLst>
            <a:cxn ang="0">
              <a:pos x="connsiteX0" y="connsiteY0"/>
            </a:cxn>
            <a:cxn ang="0">
              <a:pos x="connsiteX1" y="connsiteY1"/>
            </a:cxn>
            <a:cxn ang="0">
              <a:pos x="connsiteX2" y="connsiteY2"/>
            </a:cxn>
          </a:cxnLst>
          <a:rect l="l" t="t" r="r" b="b"/>
          <a:pathLst>
            <a:path w="2895600" h="1120761">
              <a:moveTo>
                <a:pt x="0" y="0"/>
              </a:moveTo>
              <a:cubicBezTo>
                <a:pt x="382587" y="526256"/>
                <a:pt x="765175" y="1052513"/>
                <a:pt x="1247775" y="1114425"/>
              </a:cubicBezTo>
              <a:cubicBezTo>
                <a:pt x="1730375" y="1176337"/>
                <a:pt x="2312987" y="773906"/>
                <a:pt x="2895600" y="371475"/>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590550</xdr:colOff>
      <xdr:row>28</xdr:row>
      <xdr:rowOff>28575</xdr:rowOff>
    </xdr:from>
    <xdr:to>
      <xdr:col>10</xdr:col>
      <xdr:colOff>590550</xdr:colOff>
      <xdr:row>28</xdr:row>
      <xdr:rowOff>28575</xdr:rowOff>
    </xdr:to>
    <xdr:cxnSp macro="">
      <xdr:nvCxnSpPr>
        <xdr:cNvPr id="6" name="直線矢印コネクタ 5">
          <a:extLst>
            <a:ext uri="{FF2B5EF4-FFF2-40B4-BE49-F238E27FC236}">
              <a16:creationId xmlns:a16="http://schemas.microsoft.com/office/drawing/2014/main" id="{A87C19F7-D15A-D286-BEC8-474218F915B9}"/>
            </a:ext>
          </a:extLst>
        </xdr:cNvPr>
        <xdr:cNvCxnSpPr/>
      </xdr:nvCxnSpPr>
      <xdr:spPr>
        <a:xfrm>
          <a:off x="1905000" y="5838825"/>
          <a:ext cx="54864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476250</xdr:colOff>
      <xdr:row>20</xdr:row>
      <xdr:rowOff>123825</xdr:rowOff>
    </xdr:from>
    <xdr:to>
      <xdr:col>6</xdr:col>
      <xdr:colOff>476250</xdr:colOff>
      <xdr:row>28</xdr:row>
      <xdr:rowOff>19050</xdr:rowOff>
    </xdr:to>
    <xdr:cxnSp macro="">
      <xdr:nvCxnSpPr>
        <xdr:cNvPr id="8" name="直線コネクタ 7">
          <a:extLst>
            <a:ext uri="{FF2B5EF4-FFF2-40B4-BE49-F238E27FC236}">
              <a16:creationId xmlns:a16="http://schemas.microsoft.com/office/drawing/2014/main" id="{35933198-334A-BC51-4F09-1A3D738B65FA}"/>
            </a:ext>
          </a:extLst>
        </xdr:cNvPr>
        <xdr:cNvCxnSpPr/>
      </xdr:nvCxnSpPr>
      <xdr:spPr>
        <a:xfrm>
          <a:off x="4838700" y="4410075"/>
          <a:ext cx="0" cy="1419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95250</xdr:colOff>
      <xdr:row>26</xdr:row>
      <xdr:rowOff>152400</xdr:rowOff>
    </xdr:from>
    <xdr:to>
      <xdr:col>4</xdr:col>
      <xdr:colOff>161925</xdr:colOff>
      <xdr:row>27</xdr:row>
      <xdr:rowOff>28575</xdr:rowOff>
    </xdr:to>
    <xdr:sp macro="" textlink="">
      <xdr:nvSpPr>
        <xdr:cNvPr id="9" name="楕円 8">
          <a:extLst>
            <a:ext uri="{FF2B5EF4-FFF2-40B4-BE49-F238E27FC236}">
              <a16:creationId xmlns:a16="http://schemas.microsoft.com/office/drawing/2014/main" id="{BB9F0AFE-DAA6-9404-C297-55776D6D99A0}"/>
            </a:ext>
          </a:extLst>
        </xdr:cNvPr>
        <xdr:cNvSpPr/>
      </xdr:nvSpPr>
      <xdr:spPr>
        <a:xfrm>
          <a:off x="3238500" y="5581650"/>
          <a:ext cx="66675" cy="666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1190626</xdr:colOff>
      <xdr:row>20</xdr:row>
      <xdr:rowOff>104775</xdr:rowOff>
    </xdr:from>
    <xdr:to>
      <xdr:col>1</xdr:col>
      <xdr:colOff>552450</xdr:colOff>
      <xdr:row>22</xdr:row>
      <xdr:rowOff>0</xdr:rowOff>
    </xdr:to>
    <xdr:sp macro="" textlink="">
      <xdr:nvSpPr>
        <xdr:cNvPr id="10" name="テキスト ボックス 9">
          <a:extLst>
            <a:ext uri="{FF2B5EF4-FFF2-40B4-BE49-F238E27FC236}">
              <a16:creationId xmlns:a16="http://schemas.microsoft.com/office/drawing/2014/main" id="{CDFC9EB6-0637-59CD-9151-CA18BF470488}"/>
            </a:ext>
          </a:extLst>
        </xdr:cNvPr>
        <xdr:cNvSpPr txBox="1"/>
      </xdr:nvSpPr>
      <xdr:spPr>
        <a:xfrm>
          <a:off x="1190626" y="4391025"/>
          <a:ext cx="676274"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初期値</a:t>
          </a:r>
        </a:p>
      </xdr:txBody>
    </xdr:sp>
    <xdr:clientData/>
  </xdr:twoCellAnchor>
  <xdr:twoCellAnchor>
    <xdr:from>
      <xdr:col>3</xdr:col>
      <xdr:colOff>447675</xdr:colOff>
      <xdr:row>24</xdr:row>
      <xdr:rowOff>114300</xdr:rowOff>
    </xdr:from>
    <xdr:to>
      <xdr:col>5</xdr:col>
      <xdr:colOff>28575</xdr:colOff>
      <xdr:row>26</xdr:row>
      <xdr:rowOff>9525</xdr:rowOff>
    </xdr:to>
    <xdr:sp macro="" textlink="">
      <xdr:nvSpPr>
        <xdr:cNvPr id="11" name="テキスト ボックス 10">
          <a:extLst>
            <a:ext uri="{FF2B5EF4-FFF2-40B4-BE49-F238E27FC236}">
              <a16:creationId xmlns:a16="http://schemas.microsoft.com/office/drawing/2014/main" id="{6217BF1E-7DC2-4304-BC83-C92D6E429F4A}"/>
            </a:ext>
          </a:extLst>
        </xdr:cNvPr>
        <xdr:cNvSpPr txBox="1"/>
      </xdr:nvSpPr>
      <xdr:spPr>
        <a:xfrm>
          <a:off x="2981325" y="5162550"/>
          <a:ext cx="8001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極小値</a:t>
          </a:r>
        </a:p>
      </xdr:txBody>
    </xdr:sp>
    <xdr:clientData/>
  </xdr:twoCellAnchor>
  <xdr:twoCellAnchor>
    <xdr:from>
      <xdr:col>1</xdr:col>
      <xdr:colOff>590550</xdr:colOff>
      <xdr:row>43</xdr:row>
      <xdr:rowOff>19050</xdr:rowOff>
    </xdr:from>
    <xdr:to>
      <xdr:col>11</xdr:col>
      <xdr:colOff>438150</xdr:colOff>
      <xdr:row>43</xdr:row>
      <xdr:rowOff>19050</xdr:rowOff>
    </xdr:to>
    <xdr:cxnSp macro="">
      <xdr:nvCxnSpPr>
        <xdr:cNvPr id="13" name="直線矢印コネクタ 12">
          <a:extLst>
            <a:ext uri="{FF2B5EF4-FFF2-40B4-BE49-F238E27FC236}">
              <a16:creationId xmlns:a16="http://schemas.microsoft.com/office/drawing/2014/main" id="{5C644165-8C90-43E1-B925-7A394789367A}"/>
            </a:ext>
          </a:extLst>
        </xdr:cNvPr>
        <xdr:cNvCxnSpPr/>
      </xdr:nvCxnSpPr>
      <xdr:spPr>
        <a:xfrm>
          <a:off x="1905000" y="8686800"/>
          <a:ext cx="5943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561975</xdr:colOff>
      <xdr:row>41</xdr:row>
      <xdr:rowOff>171450</xdr:rowOff>
    </xdr:from>
    <xdr:to>
      <xdr:col>9</xdr:col>
      <xdr:colOff>19050</xdr:colOff>
      <xdr:row>42</xdr:row>
      <xdr:rowOff>47625</xdr:rowOff>
    </xdr:to>
    <xdr:sp macro="" textlink="">
      <xdr:nvSpPr>
        <xdr:cNvPr id="15" name="楕円 14">
          <a:extLst>
            <a:ext uri="{FF2B5EF4-FFF2-40B4-BE49-F238E27FC236}">
              <a16:creationId xmlns:a16="http://schemas.microsoft.com/office/drawing/2014/main" id="{2B881D30-8A54-4654-A14F-9914E631B3B2}"/>
            </a:ext>
          </a:extLst>
        </xdr:cNvPr>
        <xdr:cNvSpPr/>
      </xdr:nvSpPr>
      <xdr:spPr>
        <a:xfrm>
          <a:off x="6143625" y="8458200"/>
          <a:ext cx="66675" cy="666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466726</xdr:colOff>
      <xdr:row>39</xdr:row>
      <xdr:rowOff>133350</xdr:rowOff>
    </xdr:from>
    <xdr:to>
      <xdr:col>7</xdr:col>
      <xdr:colOff>533400</xdr:colOff>
      <xdr:row>41</xdr:row>
      <xdr:rowOff>28575</xdr:rowOff>
    </xdr:to>
    <xdr:sp macro="" textlink="">
      <xdr:nvSpPr>
        <xdr:cNvPr id="16" name="テキスト ボックス 15">
          <a:extLst>
            <a:ext uri="{FF2B5EF4-FFF2-40B4-BE49-F238E27FC236}">
              <a16:creationId xmlns:a16="http://schemas.microsoft.com/office/drawing/2014/main" id="{ED53677D-8C1C-447B-B32B-11A959B4A1D6}"/>
            </a:ext>
          </a:extLst>
        </xdr:cNvPr>
        <xdr:cNvSpPr txBox="1"/>
      </xdr:nvSpPr>
      <xdr:spPr>
        <a:xfrm>
          <a:off x="4829176" y="8039100"/>
          <a:ext cx="676274"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初期値</a:t>
          </a:r>
        </a:p>
      </xdr:txBody>
    </xdr:sp>
    <xdr:clientData/>
  </xdr:twoCellAnchor>
  <xdr:twoCellAnchor>
    <xdr:from>
      <xdr:col>3</xdr:col>
      <xdr:colOff>447675</xdr:colOff>
      <xdr:row>37</xdr:row>
      <xdr:rowOff>114300</xdr:rowOff>
    </xdr:from>
    <xdr:to>
      <xdr:col>5</xdr:col>
      <xdr:colOff>28575</xdr:colOff>
      <xdr:row>39</xdr:row>
      <xdr:rowOff>9525</xdr:rowOff>
    </xdr:to>
    <xdr:sp macro="" textlink="">
      <xdr:nvSpPr>
        <xdr:cNvPr id="17" name="テキスト ボックス 16">
          <a:extLst>
            <a:ext uri="{FF2B5EF4-FFF2-40B4-BE49-F238E27FC236}">
              <a16:creationId xmlns:a16="http://schemas.microsoft.com/office/drawing/2014/main" id="{CB5C82C0-7BEA-4BF2-8F87-982B032D5C46}"/>
            </a:ext>
          </a:extLst>
        </xdr:cNvPr>
        <xdr:cNvSpPr txBox="1"/>
      </xdr:nvSpPr>
      <xdr:spPr>
        <a:xfrm>
          <a:off x="2981325" y="5162550"/>
          <a:ext cx="8001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極小値</a:t>
          </a:r>
        </a:p>
      </xdr:txBody>
    </xdr:sp>
    <xdr:clientData/>
  </xdr:twoCellAnchor>
  <xdr:twoCellAnchor>
    <xdr:from>
      <xdr:col>2</xdr:col>
      <xdr:colOff>266700</xdr:colOff>
      <xdr:row>32</xdr:row>
      <xdr:rowOff>164435</xdr:rowOff>
    </xdr:from>
    <xdr:to>
      <xdr:col>11</xdr:col>
      <xdr:colOff>414212</xdr:colOff>
      <xdr:row>42</xdr:row>
      <xdr:rowOff>10325</xdr:rowOff>
    </xdr:to>
    <xdr:sp macro="" textlink="">
      <xdr:nvSpPr>
        <xdr:cNvPr id="18" name="フリーフォーム: 図形 17">
          <a:extLst>
            <a:ext uri="{FF2B5EF4-FFF2-40B4-BE49-F238E27FC236}">
              <a16:creationId xmlns:a16="http://schemas.microsoft.com/office/drawing/2014/main" id="{73319329-01E7-232B-6888-168E94ED9B83}"/>
            </a:ext>
          </a:extLst>
        </xdr:cNvPr>
        <xdr:cNvSpPr/>
      </xdr:nvSpPr>
      <xdr:spPr>
        <a:xfrm>
          <a:off x="2190750" y="6736685"/>
          <a:ext cx="5633912" cy="1750890"/>
        </a:xfrm>
        <a:custGeom>
          <a:avLst/>
          <a:gdLst>
            <a:gd name="connsiteX0" fmla="*/ 0 w 5633912"/>
            <a:gd name="connsiteY0" fmla="*/ 168940 h 1750890"/>
            <a:gd name="connsiteX1" fmla="*/ 1019175 w 5633912"/>
            <a:gd name="connsiteY1" fmla="*/ 1350040 h 1750890"/>
            <a:gd name="connsiteX2" fmla="*/ 2562225 w 5633912"/>
            <a:gd name="connsiteY2" fmla="*/ 388015 h 1750890"/>
            <a:gd name="connsiteX3" fmla="*/ 4019550 w 5633912"/>
            <a:gd name="connsiteY3" fmla="*/ 1750090 h 1750890"/>
            <a:gd name="connsiteX4" fmla="*/ 5486400 w 5633912"/>
            <a:gd name="connsiteY4" fmla="*/ 159415 h 1750890"/>
            <a:gd name="connsiteX5" fmla="*/ 5505450 w 5633912"/>
            <a:gd name="connsiteY5" fmla="*/ 140365 h 17508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633912" h="1750890">
              <a:moveTo>
                <a:pt x="0" y="168940"/>
              </a:moveTo>
              <a:cubicBezTo>
                <a:pt x="296069" y="741234"/>
                <a:pt x="592138" y="1313528"/>
                <a:pt x="1019175" y="1350040"/>
              </a:cubicBezTo>
              <a:cubicBezTo>
                <a:pt x="1446212" y="1386552"/>
                <a:pt x="2062163" y="321340"/>
                <a:pt x="2562225" y="388015"/>
              </a:cubicBezTo>
              <a:cubicBezTo>
                <a:pt x="3062287" y="454690"/>
                <a:pt x="3532188" y="1788190"/>
                <a:pt x="4019550" y="1750090"/>
              </a:cubicBezTo>
              <a:cubicBezTo>
                <a:pt x="4506913" y="1711990"/>
                <a:pt x="5486400" y="159415"/>
                <a:pt x="5486400" y="159415"/>
              </a:cubicBezTo>
              <a:cubicBezTo>
                <a:pt x="5734050" y="-108873"/>
                <a:pt x="5619750" y="15746"/>
                <a:pt x="5505450" y="140365"/>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219075</xdr:colOff>
      <xdr:row>38</xdr:row>
      <xdr:rowOff>180975</xdr:rowOff>
    </xdr:from>
    <xdr:to>
      <xdr:col>9</xdr:col>
      <xdr:colOff>409575</xdr:colOff>
      <xdr:row>40</xdr:row>
      <xdr:rowOff>76200</xdr:rowOff>
    </xdr:to>
    <xdr:sp macro="" textlink="">
      <xdr:nvSpPr>
        <xdr:cNvPr id="20" name="テキスト ボックス 19">
          <a:extLst>
            <a:ext uri="{FF2B5EF4-FFF2-40B4-BE49-F238E27FC236}">
              <a16:creationId xmlns:a16="http://schemas.microsoft.com/office/drawing/2014/main" id="{2966268A-31F9-40F3-9A38-0D7BEE7FFDA6}"/>
            </a:ext>
          </a:extLst>
        </xdr:cNvPr>
        <xdr:cNvSpPr txBox="1"/>
      </xdr:nvSpPr>
      <xdr:spPr>
        <a:xfrm>
          <a:off x="5800725" y="7896225"/>
          <a:ext cx="8001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最小値</a:t>
          </a:r>
        </a:p>
      </xdr:txBody>
    </xdr:sp>
    <xdr:clientData/>
  </xdr:twoCellAnchor>
  <xdr:twoCellAnchor>
    <xdr:from>
      <xdr:col>1</xdr:col>
      <xdr:colOff>581025</xdr:colOff>
      <xdr:row>20</xdr:row>
      <xdr:rowOff>133350</xdr:rowOff>
    </xdr:from>
    <xdr:to>
      <xdr:col>2</xdr:col>
      <xdr:colOff>38100</xdr:colOff>
      <xdr:row>21</xdr:row>
      <xdr:rowOff>9525</xdr:rowOff>
    </xdr:to>
    <xdr:sp macro="" textlink="">
      <xdr:nvSpPr>
        <xdr:cNvPr id="2" name="楕円 1">
          <a:extLst>
            <a:ext uri="{FF2B5EF4-FFF2-40B4-BE49-F238E27FC236}">
              <a16:creationId xmlns:a16="http://schemas.microsoft.com/office/drawing/2014/main" id="{9D58D832-B99A-4F40-A190-8C80BBD3E822}"/>
            </a:ext>
          </a:extLst>
        </xdr:cNvPr>
        <xdr:cNvSpPr/>
      </xdr:nvSpPr>
      <xdr:spPr>
        <a:xfrm>
          <a:off x="1895475" y="4419600"/>
          <a:ext cx="66675" cy="6667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552450</xdr:colOff>
      <xdr:row>38</xdr:row>
      <xdr:rowOff>161925</xdr:rowOff>
    </xdr:from>
    <xdr:to>
      <xdr:col>8</xdr:col>
      <xdr:colOff>9525</xdr:colOff>
      <xdr:row>39</xdr:row>
      <xdr:rowOff>38100</xdr:rowOff>
    </xdr:to>
    <xdr:sp macro="" textlink="">
      <xdr:nvSpPr>
        <xdr:cNvPr id="3" name="楕円 2">
          <a:extLst>
            <a:ext uri="{FF2B5EF4-FFF2-40B4-BE49-F238E27FC236}">
              <a16:creationId xmlns:a16="http://schemas.microsoft.com/office/drawing/2014/main" id="{AD50AAE5-56B8-4343-93EA-5B154DCCE8D0}"/>
            </a:ext>
          </a:extLst>
        </xdr:cNvPr>
        <xdr:cNvSpPr/>
      </xdr:nvSpPr>
      <xdr:spPr>
        <a:xfrm>
          <a:off x="5524500" y="7877175"/>
          <a:ext cx="66675" cy="6667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184618</xdr:colOff>
      <xdr:row>21</xdr:row>
      <xdr:rowOff>15044</xdr:rowOff>
    </xdr:from>
    <xdr:to>
      <xdr:col>2</xdr:col>
      <xdr:colOff>319402</xdr:colOff>
      <xdr:row>23</xdr:row>
      <xdr:rowOff>5519</xdr:rowOff>
    </xdr:to>
    <xdr:sp macro="" textlink="">
      <xdr:nvSpPr>
        <xdr:cNvPr id="5" name="矢印: 下 4">
          <a:extLst>
            <a:ext uri="{FF2B5EF4-FFF2-40B4-BE49-F238E27FC236}">
              <a16:creationId xmlns:a16="http://schemas.microsoft.com/office/drawing/2014/main" id="{36717383-D1CA-AA9D-E2C8-49BD2CCB9BC6}"/>
            </a:ext>
          </a:extLst>
        </xdr:cNvPr>
        <xdr:cNvSpPr/>
      </xdr:nvSpPr>
      <xdr:spPr>
        <a:xfrm rot="19273072" flipH="1">
          <a:off x="2108668" y="4491794"/>
          <a:ext cx="134784" cy="3714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85725</xdr:colOff>
      <xdr:row>40</xdr:row>
      <xdr:rowOff>28575</xdr:rowOff>
    </xdr:from>
    <xdr:to>
      <xdr:col>8</xdr:col>
      <xdr:colOff>220509</xdr:colOff>
      <xdr:row>42</xdr:row>
      <xdr:rowOff>19050</xdr:rowOff>
    </xdr:to>
    <xdr:sp macro="" textlink="">
      <xdr:nvSpPr>
        <xdr:cNvPr id="7" name="矢印: 下 6">
          <a:extLst>
            <a:ext uri="{FF2B5EF4-FFF2-40B4-BE49-F238E27FC236}">
              <a16:creationId xmlns:a16="http://schemas.microsoft.com/office/drawing/2014/main" id="{D803BAB4-63AC-4375-A818-E6E1B59432D3}"/>
            </a:ext>
          </a:extLst>
        </xdr:cNvPr>
        <xdr:cNvSpPr/>
      </xdr:nvSpPr>
      <xdr:spPr>
        <a:xfrm rot="19227851" flipH="1">
          <a:off x="5667375" y="8124825"/>
          <a:ext cx="134784" cy="3714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266700</xdr:colOff>
      <xdr:row>4</xdr:row>
      <xdr:rowOff>123826</xdr:rowOff>
    </xdr:from>
    <xdr:to>
      <xdr:col>29</xdr:col>
      <xdr:colOff>266700</xdr:colOff>
      <xdr:row>16</xdr:row>
      <xdr:rowOff>0</xdr:rowOff>
    </xdr:to>
    <xdr:sp macro="" textlink="">
      <xdr:nvSpPr>
        <xdr:cNvPr id="4" name="テキスト ボックス 3">
          <a:extLst>
            <a:ext uri="{FF2B5EF4-FFF2-40B4-BE49-F238E27FC236}">
              <a16:creationId xmlns:a16="http://schemas.microsoft.com/office/drawing/2014/main" id="{65A36E1E-0D8D-7D6F-3003-D15A8502AFED}"/>
            </a:ext>
          </a:extLst>
        </xdr:cNvPr>
        <xdr:cNvSpPr txBox="1"/>
      </xdr:nvSpPr>
      <xdr:spPr>
        <a:xfrm>
          <a:off x="11468100" y="933451"/>
          <a:ext cx="6096000" cy="2162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正直に言うと、</a:t>
          </a:r>
          <a:r>
            <a:rPr kumimoji="1" lang="en-US" altLang="ja-JP" sz="1100"/>
            <a:t>3015</a:t>
          </a:r>
          <a:r>
            <a:rPr kumimoji="1" lang="ja-JP" altLang="en-US" sz="1100"/>
            <a:t>という値がどこから出たのかは、私自身も特定できません。理由を後付けででっち上げることはしません。わかっていること最初の「答え</a:t>
          </a:r>
          <a:r>
            <a:rPr kumimoji="1" lang="en-US" altLang="ja-JP" sz="1100"/>
            <a:t>:3015</a:t>
          </a:r>
          <a:r>
            <a:rPr kumimoji="1" lang="ja-JP" altLang="en-US" sz="1100"/>
            <a:t>通り」は、計算を書く前に結論だけ先に置いたものでした。その後の計算</a:t>
          </a:r>
          <a:r>
            <a:rPr kumimoji="1" lang="en-US" altLang="ja-JP" sz="1100"/>
            <a:t>(24 + 27 + 0)</a:t>
          </a:r>
          <a:r>
            <a:rPr kumimoji="1" lang="ja-JP" altLang="en-US" sz="1100"/>
            <a:t>は</a:t>
          </a:r>
          <a:r>
            <a:rPr kumimoji="1" lang="en-US" altLang="ja-JP" sz="1100"/>
            <a:t>3015</a:t>
          </a:r>
          <a:r>
            <a:rPr kumimoji="1" lang="ja-JP" altLang="en-US" sz="1100"/>
            <a:t>にならず、途中で食い違いに気づいて訂正した形です。つまり</a:t>
          </a:r>
          <a:r>
            <a:rPr kumimoji="1" lang="en-US" altLang="ja-JP" sz="1100"/>
            <a:t>3015</a:t>
          </a:r>
          <a:r>
            <a:rPr kumimoji="1" lang="ja-JP" altLang="en-US" sz="1100"/>
            <a:t>には、裏づける導出がもともとありませんでした。</a:t>
          </a:r>
        </a:p>
        <a:p>
          <a:r>
            <a:rPr kumimoji="1" lang="ja-JP" altLang="en-US" sz="1100"/>
            <a:t>条件を無視した単純な数えかたでも</a:t>
          </a:r>
          <a:r>
            <a:rPr kumimoji="1" lang="en-US" altLang="ja-JP" sz="1100"/>
            <a:t>3015</a:t>
          </a:r>
          <a:r>
            <a:rPr kumimoji="1" lang="ja-JP" altLang="en-US" sz="1100"/>
            <a:t>にはなりません。たとえば隣り合い制限を無視して偶奇を同数取ると </a:t>
          </a:r>
          <a:r>
            <a:rPr kumimoji="1" lang="el-GR" altLang="ja-JP" sz="1100"/>
            <a:t>Σ </a:t>
          </a:r>
          <a:r>
            <a:rPr kumimoji="1" lang="en-US" altLang="ja-JP" sz="1100"/>
            <a:t>C(6,k)² (k=1〜6) = C(12,6) − 1 = 923</a:t>
          </a:r>
          <a:r>
            <a:rPr kumimoji="1" lang="ja-JP" altLang="en-US" sz="1100"/>
            <a:t>通りです。隣り合わない珠の選びかたの総数</a:t>
          </a:r>
          <a:r>
            <a:rPr kumimoji="1" lang="en-US" altLang="ja-JP" sz="1100"/>
            <a:t>(</a:t>
          </a:r>
          <a:r>
            <a:rPr kumimoji="1" lang="ja-JP" altLang="en-US" sz="1100"/>
            <a:t>円周上、空集合含む</a:t>
          </a:r>
          <a:r>
            <a:rPr kumimoji="1" lang="en-US" altLang="ja-JP" sz="1100"/>
            <a:t>)</a:t>
          </a:r>
          <a:r>
            <a:rPr kumimoji="1" lang="ja-JP" altLang="en-US" sz="1100"/>
            <a:t>も </a:t>
          </a:r>
          <a:r>
            <a:rPr kumimoji="1" lang="en-US" altLang="ja-JP" sz="1100"/>
            <a:t>322</a:t>
          </a:r>
          <a:r>
            <a:rPr kumimoji="1" lang="ja-JP" altLang="en-US" sz="1100"/>
            <a:t>通りです。どれも</a:t>
          </a:r>
          <a:r>
            <a:rPr kumimoji="1" lang="en-US" altLang="ja-JP" sz="1100"/>
            <a:t>3015</a:t>
          </a:r>
          <a:r>
            <a:rPr kumimoji="1" lang="ja-JP" altLang="en-US" sz="1100"/>
            <a:t>とは一致しません。したがって、特定の誤読や計算ミスが原因というより、根拠なく数値を先に出してしまったことが問題でした。回答の書きかたとしても、導出より先に断定したのがよくありませんでした。</a:t>
          </a:r>
        </a:p>
        <a:p>
          <a:endParaRPr kumimoji="1" lang="ja-JP" altLang="en-US" sz="1100"/>
        </a:p>
        <a:p>
          <a:endParaRPr kumimoji="1" lang="ja-JP" altLang="en-US" sz="1100"/>
        </a:p>
        <a:p>
          <a:endParaRPr kumimoji="1" lang="ja-JP" altLang="en-US" sz="1100"/>
        </a:p>
      </xdr:txBody>
    </xdr:sp>
    <xdr:clientData/>
  </xdr:twoCellAnchor>
  <xdr:twoCellAnchor>
    <xdr:from>
      <xdr:col>19</xdr:col>
      <xdr:colOff>9525</xdr:colOff>
      <xdr:row>1</xdr:row>
      <xdr:rowOff>28575</xdr:rowOff>
    </xdr:from>
    <xdr:to>
      <xdr:col>26</xdr:col>
      <xdr:colOff>381000</xdr:colOff>
      <xdr:row>4</xdr:row>
      <xdr:rowOff>57150</xdr:rowOff>
    </xdr:to>
    <xdr:sp macro="" textlink="">
      <xdr:nvSpPr>
        <xdr:cNvPr id="5" name="テキスト ボックス 4">
          <a:extLst>
            <a:ext uri="{FF2B5EF4-FFF2-40B4-BE49-F238E27FC236}">
              <a16:creationId xmlns:a16="http://schemas.microsoft.com/office/drawing/2014/main" id="{30CE797E-54BD-D376-988C-5078FCFB085A}"/>
            </a:ext>
          </a:extLst>
        </xdr:cNvPr>
        <xdr:cNvSpPr txBox="1"/>
      </xdr:nvSpPr>
      <xdr:spPr>
        <a:xfrm>
          <a:off x="11210925" y="219075"/>
          <a:ext cx="463867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0">
              <a:solidFill>
                <a:schemeClr val="dk1"/>
              </a:solidFill>
              <a:effectLst/>
              <a:latin typeface="+mn-lt"/>
              <a:ea typeface="+mn-ea"/>
              <a:cs typeface="+mn-cs"/>
            </a:rPr>
            <a:t>12</a:t>
          </a:r>
          <a:r>
            <a:rPr lang="ja-JP" altLang="en-US" sz="1100" b="0" i="0">
              <a:solidFill>
                <a:schemeClr val="dk1"/>
              </a:solidFill>
              <a:effectLst/>
              <a:latin typeface="+mn-lt"/>
              <a:ea typeface="+mn-ea"/>
              <a:cs typeface="+mn-cs"/>
            </a:rPr>
            <a:t>個の異なる珠でできた数珠の問題を最初</a:t>
          </a:r>
          <a:r>
            <a:rPr lang="en-US" altLang="ja-JP" sz="1100" b="0" i="0">
              <a:solidFill>
                <a:schemeClr val="dk1"/>
              </a:solidFill>
              <a:effectLst/>
              <a:latin typeface="+mn-lt"/>
              <a:ea typeface="+mn-ea"/>
              <a:cs typeface="+mn-cs"/>
            </a:rPr>
            <a:t>3015</a:t>
          </a:r>
          <a:r>
            <a:rPr lang="ja-JP" altLang="en-US" sz="1100" b="0" i="0">
              <a:solidFill>
                <a:schemeClr val="dk1"/>
              </a:solidFill>
              <a:effectLst/>
              <a:latin typeface="+mn-lt"/>
              <a:ea typeface="+mn-ea"/>
              <a:cs typeface="+mn-cs"/>
            </a:rPr>
            <a:t>と間違えたが、この間違った結論になる原因が知りたい</a:t>
          </a:r>
          <a:endParaRPr kumimoji="1" lang="ja-JP" altLang="en-US" sz="1100"/>
        </a:p>
      </xdr:txBody>
    </xdr:sp>
    <xdr:clientData/>
  </xdr:twoCellAnchor>
  <xdr:twoCellAnchor>
    <xdr:from>
      <xdr:col>19</xdr:col>
      <xdr:colOff>276225</xdr:colOff>
      <xdr:row>21</xdr:row>
      <xdr:rowOff>95249</xdr:rowOff>
    </xdr:from>
    <xdr:to>
      <xdr:col>29</xdr:col>
      <xdr:colOff>304800</xdr:colOff>
      <xdr:row>37</xdr:row>
      <xdr:rowOff>66674</xdr:rowOff>
    </xdr:to>
    <xdr:sp macro="" textlink="">
      <xdr:nvSpPr>
        <xdr:cNvPr id="6" name="テキスト ボックス 5">
          <a:extLst>
            <a:ext uri="{FF2B5EF4-FFF2-40B4-BE49-F238E27FC236}">
              <a16:creationId xmlns:a16="http://schemas.microsoft.com/office/drawing/2014/main" id="{E29C8108-853A-31C3-DEC3-EDE466185237}"/>
            </a:ext>
          </a:extLst>
        </xdr:cNvPr>
        <xdr:cNvSpPr txBox="1"/>
      </xdr:nvSpPr>
      <xdr:spPr>
        <a:xfrm>
          <a:off x="11477625" y="4143374"/>
          <a:ext cx="6124575" cy="3114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前回の説明の不正確さ「計算を書く前に結論だけ先に置いた」「根拠のない数値だった」と書きましたが、これは私が内部で何が起きていたかを確認して述べたことではありません。生成の内部過程を私は直接観察できないので、「なぜ</a:t>
          </a:r>
          <a:r>
            <a:rPr kumimoji="1" lang="en-US" altLang="ja-JP" sz="1100">
              <a:solidFill>
                <a:schemeClr val="dk1"/>
              </a:solidFill>
              <a:effectLst/>
              <a:latin typeface="+mn-lt"/>
              <a:ea typeface="+mn-ea"/>
              <a:cs typeface="+mn-cs"/>
            </a:rPr>
            <a:t>3015</a:t>
          </a:r>
          <a:r>
            <a:rPr kumimoji="1" lang="ja-JP" altLang="ja-JP" sz="1100">
              <a:solidFill>
                <a:schemeClr val="dk1"/>
              </a:solidFill>
              <a:effectLst/>
              <a:latin typeface="+mn-lt"/>
              <a:ea typeface="+mn-ea"/>
              <a:cs typeface="+mn-cs"/>
            </a:rPr>
            <a:t>が出たか」について、私の自己申告は信頼できる原因説明になりません。わかるのは出力された事実</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断定が先に出て、計算が後から別の値になった</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だけです。事実として言えること結論を先に断定し、その後に計算で導く書き方をすると、計算が結論と食い違った場合に、先の断定が足かせになったり、あとから辻褄を合わせようとしたりする危険があります。今回は食い違いに気づいて訂正できましたが、気づかなければ誤答のまま提示されていました。</a:t>
          </a:r>
          <a:r>
            <a:rPr kumimoji="1" lang="en-US" altLang="ja-JP" sz="1100">
              <a:solidFill>
                <a:schemeClr val="dk1"/>
              </a:solidFill>
              <a:effectLst/>
              <a:latin typeface="+mn-lt"/>
              <a:ea typeface="+mn-ea"/>
              <a:cs typeface="+mn-cs"/>
            </a:rPr>
            <a:t>3015</a:t>
          </a:r>
          <a:r>
            <a:rPr kumimoji="1" lang="ja-JP" altLang="ja-JP" sz="1100">
              <a:solidFill>
                <a:schemeClr val="dk1"/>
              </a:solidFill>
              <a:effectLst/>
              <a:latin typeface="+mn-lt"/>
              <a:ea typeface="+mn-ea"/>
              <a:cs typeface="+mn-cs"/>
            </a:rPr>
            <a:t>のような、もっともらしい</a:t>
          </a:r>
          <a:r>
            <a:rPr kumimoji="1" lang="en-US" altLang="ja-JP" sz="1100">
              <a:solidFill>
                <a:schemeClr val="dk1"/>
              </a:solidFill>
              <a:effectLst/>
              <a:latin typeface="+mn-lt"/>
              <a:ea typeface="+mn-ea"/>
              <a:cs typeface="+mn-cs"/>
            </a:rPr>
            <a:t>4</a:t>
          </a:r>
          <a:r>
            <a:rPr kumimoji="1" lang="ja-JP" altLang="ja-JP" sz="1100">
              <a:solidFill>
                <a:schemeClr val="dk1"/>
              </a:solidFill>
              <a:effectLst/>
              <a:latin typeface="+mn-lt"/>
              <a:ea typeface="+mn-ea"/>
              <a:cs typeface="+mn-cs"/>
            </a:rPr>
            <a:t>桁の数が根拠なく出ること自体が、言語モデルに起こりうる「それらしい数値の生成」の典型です。確率的に尤もらしい数字列が出ているだけで、計算の結果ではありません。対策としてできること答えは導出の後に書く</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結論を先に断定しない</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。組合せ問題では、検算</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別解や小さい場合の全列挙</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を行ってから確定する。最終回答の前に、数式の各段階が結論と整合しているかを確認する。今後の回答でもこの順序を守ります。数値が重要な問題では、私の答えを鵜呑みにせず、検算や別解の提示を求めていただくのが有効です。</a:t>
          </a:r>
          <a:endParaRPr lang="ja-JP" altLang="ja-JP">
            <a:effectLst/>
          </a:endParaRPr>
        </a:p>
        <a:p>
          <a:endParaRPr kumimoji="1" lang="ja-JP" altLang="en-US" sz="1100"/>
        </a:p>
      </xdr:txBody>
    </xdr:sp>
    <xdr:clientData/>
  </xdr:twoCellAnchor>
  <xdr:twoCellAnchor>
    <xdr:from>
      <xdr:col>19</xdr:col>
      <xdr:colOff>38100</xdr:colOff>
      <xdr:row>17</xdr:row>
      <xdr:rowOff>66675</xdr:rowOff>
    </xdr:from>
    <xdr:to>
      <xdr:col>28</xdr:col>
      <xdr:colOff>333375</xdr:colOff>
      <xdr:row>20</xdr:row>
      <xdr:rowOff>171450</xdr:rowOff>
    </xdr:to>
    <xdr:sp macro="" textlink="">
      <xdr:nvSpPr>
        <xdr:cNvPr id="7" name="テキスト ボックス 6">
          <a:extLst>
            <a:ext uri="{FF2B5EF4-FFF2-40B4-BE49-F238E27FC236}">
              <a16:creationId xmlns:a16="http://schemas.microsoft.com/office/drawing/2014/main" id="{339625D1-403D-DEB8-2304-56582EB9193D}"/>
            </a:ext>
          </a:extLst>
        </xdr:cNvPr>
        <xdr:cNvSpPr txBox="1"/>
      </xdr:nvSpPr>
      <xdr:spPr>
        <a:xfrm>
          <a:off x="11239500" y="3352800"/>
          <a:ext cx="578167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i="0">
              <a:solidFill>
                <a:schemeClr val="dk1"/>
              </a:solidFill>
              <a:effectLst/>
              <a:latin typeface="+mn-lt"/>
              <a:ea typeface="+mn-ea"/>
              <a:cs typeface="+mn-cs"/>
            </a:rPr>
            <a:t>51</a:t>
          </a:r>
          <a:r>
            <a:rPr lang="ja-JP" altLang="ja-JP" sz="1100" b="0" i="0">
              <a:solidFill>
                <a:schemeClr val="dk1"/>
              </a:solidFill>
              <a:effectLst/>
              <a:latin typeface="+mn-lt"/>
              <a:ea typeface="+mn-ea"/>
              <a:cs typeface="+mn-cs"/>
            </a:rPr>
            <a:t>は正解だし、たどり着く解説も正しいが、</a:t>
          </a:r>
          <a:r>
            <a:rPr lang="en-US" altLang="ja-JP" sz="1100" b="0" i="0">
              <a:solidFill>
                <a:schemeClr val="dk1"/>
              </a:solidFill>
              <a:effectLst/>
              <a:latin typeface="+mn-lt"/>
              <a:ea typeface="+mn-ea"/>
              <a:cs typeface="+mn-cs"/>
            </a:rPr>
            <a:t>3015</a:t>
          </a:r>
          <a:r>
            <a:rPr lang="ja-JP" altLang="ja-JP" sz="1100" b="0" i="0">
              <a:solidFill>
                <a:schemeClr val="dk1"/>
              </a:solidFill>
              <a:effectLst/>
              <a:latin typeface="+mn-lt"/>
              <a:ea typeface="+mn-ea"/>
              <a:cs typeface="+mn-cs"/>
            </a:rPr>
            <a:t>を無意識？に出すのは危ういから、そのために問い合わせた</a:t>
          </a:r>
          <a:endParaRPr lang="ja-JP" altLang="ja-JP">
            <a:effectLst/>
          </a:endParaRPr>
        </a:p>
        <a:p>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workbookViewId="0">
      <selection activeCell="U20" sqref="U20"/>
    </sheetView>
  </sheetViews>
  <sheetFormatPr defaultColWidth="12.5703125" defaultRowHeight="15" customHeight="1" x14ac:dyDescent="0.25"/>
  <cols>
    <col min="1" max="18" width="9.140625" customWidth="1"/>
  </cols>
  <sheetData>
    <row r="1" spans="1:15" ht="18.75" customHeight="1" x14ac:dyDescent="0.25">
      <c r="A1" s="27">
        <v>107</v>
      </c>
      <c r="B1" s="27" t="s">
        <v>284</v>
      </c>
      <c r="D1" s="27"/>
      <c r="E1" s="27"/>
      <c r="F1" s="27"/>
      <c r="G1" s="27"/>
      <c r="H1" s="27"/>
      <c r="I1" s="27"/>
      <c r="J1" s="27"/>
      <c r="K1" s="27"/>
      <c r="L1" s="23"/>
      <c r="M1" s="23"/>
      <c r="N1" s="23"/>
      <c r="O1" s="23"/>
    </row>
    <row r="2" spans="1:15" ht="18.75" customHeight="1" x14ac:dyDescent="0.25">
      <c r="A2" s="27"/>
      <c r="B2" s="28" t="s">
        <v>282</v>
      </c>
      <c r="D2" s="27"/>
      <c r="E2" s="27"/>
      <c r="F2" s="27"/>
      <c r="G2" s="27"/>
      <c r="H2" s="27"/>
      <c r="I2" s="27"/>
      <c r="J2" s="27"/>
      <c r="K2" s="27"/>
      <c r="L2" s="23"/>
      <c r="M2" s="23"/>
      <c r="N2" s="23"/>
      <c r="O2" s="23"/>
    </row>
    <row r="3" spans="1:15" ht="18.75" customHeight="1" x14ac:dyDescent="0.25">
      <c r="A3" s="27"/>
      <c r="B3" s="29" t="s">
        <v>278</v>
      </c>
      <c r="C3" s="29" t="s">
        <v>281</v>
      </c>
      <c r="D3" s="27"/>
      <c r="E3" s="27"/>
      <c r="F3" s="27"/>
      <c r="G3" s="27"/>
      <c r="H3" s="27"/>
      <c r="I3" s="27"/>
      <c r="J3" s="27"/>
      <c r="K3" s="27"/>
      <c r="L3" s="23"/>
      <c r="M3" s="23"/>
      <c r="N3" s="23"/>
      <c r="O3" s="23"/>
    </row>
    <row r="4" spans="1:15" ht="18.75" customHeight="1" x14ac:dyDescent="0.25">
      <c r="A4" s="27"/>
      <c r="B4" s="29" t="s">
        <v>279</v>
      </c>
      <c r="C4" s="27" t="s">
        <v>285</v>
      </c>
      <c r="D4" s="27"/>
      <c r="E4" s="27"/>
      <c r="F4" s="27"/>
      <c r="G4" s="27"/>
      <c r="H4" s="27"/>
      <c r="I4" s="27"/>
      <c r="J4" s="27"/>
      <c r="K4" s="27"/>
      <c r="L4" s="23"/>
      <c r="M4" s="23"/>
      <c r="N4" s="23"/>
      <c r="O4" s="23"/>
    </row>
    <row r="5" spans="1:15" ht="18.75" customHeight="1" x14ac:dyDescent="0.25">
      <c r="A5" s="27"/>
      <c r="B5" s="29" t="s">
        <v>280</v>
      </c>
      <c r="C5" s="30" t="s">
        <v>286</v>
      </c>
      <c r="D5" s="27"/>
      <c r="E5" s="27"/>
      <c r="F5" s="27"/>
      <c r="G5" s="27"/>
      <c r="H5" s="27"/>
      <c r="I5" s="27"/>
      <c r="J5" s="27"/>
      <c r="K5" s="27"/>
      <c r="L5" s="23"/>
      <c r="M5" s="23"/>
      <c r="N5" s="23"/>
      <c r="O5" s="23"/>
    </row>
    <row r="6" spans="1:15" ht="18.75" customHeight="1" x14ac:dyDescent="0.25"/>
    <row r="7" spans="1:15" ht="18.75" customHeight="1" x14ac:dyDescent="0.25">
      <c r="B7" s="1" t="s">
        <v>0</v>
      </c>
      <c r="C7" s="1" t="s">
        <v>1</v>
      </c>
    </row>
    <row r="8" spans="1:15" ht="18.75" customHeight="1" x14ac:dyDescent="0.25">
      <c r="B8" s="4" t="s">
        <v>287</v>
      </c>
      <c r="C8" s="22" t="s">
        <v>283</v>
      </c>
    </row>
    <row r="9" spans="1:15" ht="18.75" customHeight="1" x14ac:dyDescent="0.25">
      <c r="C9" s="1" t="s">
        <v>2</v>
      </c>
    </row>
    <row r="10" spans="1:15" ht="18.75" customHeight="1" x14ac:dyDescent="0.25">
      <c r="C10" s="1" t="s">
        <v>3</v>
      </c>
    </row>
    <row r="11" spans="1:15" ht="18.75" customHeight="1" x14ac:dyDescent="0.25">
      <c r="C11" s="1" t="s">
        <v>4</v>
      </c>
    </row>
    <row r="12" spans="1:15" ht="18.75" customHeight="1" x14ac:dyDescent="0.25">
      <c r="C12" s="1" t="s">
        <v>5</v>
      </c>
    </row>
    <row r="13" spans="1:15" ht="18.75" customHeight="1" x14ac:dyDescent="0.25">
      <c r="C13" s="1" t="s">
        <v>6</v>
      </c>
      <c r="K13" s="1"/>
    </row>
    <row r="14" spans="1:15" ht="18.75" customHeight="1" x14ac:dyDescent="0.25"/>
    <row r="15" spans="1:15" ht="18.75" customHeight="1" x14ac:dyDescent="0.25">
      <c r="B15" s="1" t="s">
        <v>7</v>
      </c>
      <c r="C15" s="1" t="s">
        <v>8</v>
      </c>
      <c r="M15" s="4" t="s">
        <v>287</v>
      </c>
      <c r="N15" s="21" t="s">
        <v>526</v>
      </c>
    </row>
    <row r="16" spans="1:15" ht="18.75" customHeight="1" x14ac:dyDescent="0.25">
      <c r="C16" s="1" t="s">
        <v>9</v>
      </c>
      <c r="G16" s="2" t="s">
        <v>10</v>
      </c>
      <c r="J16" s="1" t="s">
        <v>11</v>
      </c>
      <c r="N16" s="32" t="s">
        <v>291</v>
      </c>
    </row>
    <row r="17" spans="2:14" ht="18.75" customHeight="1" x14ac:dyDescent="0.25">
      <c r="C17" s="21" t="s">
        <v>288</v>
      </c>
      <c r="G17" s="2" t="s">
        <v>12</v>
      </c>
      <c r="J17" s="1" t="s">
        <v>13</v>
      </c>
      <c r="N17" s="21" t="s">
        <v>289</v>
      </c>
    </row>
    <row r="18" spans="2:14" ht="18.75" customHeight="1" x14ac:dyDescent="0.25">
      <c r="C18" s="1" t="s">
        <v>14</v>
      </c>
      <c r="G18" s="2" t="s">
        <v>15</v>
      </c>
      <c r="J18" s="1" t="s">
        <v>16</v>
      </c>
      <c r="N18" s="21" t="s">
        <v>290</v>
      </c>
    </row>
    <row r="19" spans="2:14" ht="18.75" customHeight="1" x14ac:dyDescent="0.25">
      <c r="I19" s="1" t="s">
        <v>17</v>
      </c>
      <c r="J19" s="1" t="s">
        <v>18</v>
      </c>
      <c r="N19" s="33" t="s">
        <v>485</v>
      </c>
    </row>
    <row r="20" spans="2:14" ht="18.75" customHeight="1" x14ac:dyDescent="0.25"/>
    <row r="21" spans="2:14" ht="18.75" customHeight="1" x14ac:dyDescent="0.25">
      <c r="B21" s="1" t="s">
        <v>19</v>
      </c>
      <c r="C21" s="1" t="s">
        <v>20</v>
      </c>
      <c r="G21" s="2" t="s">
        <v>21</v>
      </c>
      <c r="J21" s="1" t="s">
        <v>22</v>
      </c>
      <c r="K21" s="3" t="s">
        <v>23</v>
      </c>
    </row>
    <row r="22" spans="2:14" ht="18.75" customHeight="1" x14ac:dyDescent="0.25">
      <c r="C22" s="1" t="s">
        <v>24</v>
      </c>
      <c r="J22" s="1" t="s">
        <v>22</v>
      </c>
      <c r="K22" s="1" t="s">
        <v>25</v>
      </c>
    </row>
    <row r="23" spans="2:14" ht="18.75" customHeight="1" x14ac:dyDescent="0.25">
      <c r="C23" s="1" t="s">
        <v>26</v>
      </c>
      <c r="J23" s="1" t="s">
        <v>22</v>
      </c>
      <c r="K23" s="1" t="s">
        <v>27</v>
      </c>
    </row>
    <row r="24" spans="2:14" ht="18.75" customHeight="1" x14ac:dyDescent="0.25">
      <c r="C24" s="1" t="s">
        <v>28</v>
      </c>
      <c r="D24" s="1" t="s">
        <v>29</v>
      </c>
      <c r="G24" s="2" t="s">
        <v>30</v>
      </c>
      <c r="J24" s="1" t="s">
        <v>31</v>
      </c>
      <c r="K24" s="1" t="s">
        <v>32</v>
      </c>
    </row>
    <row r="25" spans="2:14" ht="18.75" customHeight="1" x14ac:dyDescent="0.25">
      <c r="D25" s="1" t="s">
        <v>33</v>
      </c>
      <c r="J25" s="1" t="s">
        <v>31</v>
      </c>
      <c r="K25" s="1" t="s">
        <v>34</v>
      </c>
    </row>
    <row r="26" spans="2:14" ht="18.75" customHeight="1" x14ac:dyDescent="0.25">
      <c r="D26" s="1" t="s">
        <v>35</v>
      </c>
      <c r="J26" s="1" t="s">
        <v>31</v>
      </c>
      <c r="K26" s="1" t="s">
        <v>36</v>
      </c>
    </row>
    <row r="27" spans="2:14" ht="18.75" customHeight="1" x14ac:dyDescent="0.25">
      <c r="D27" s="1" t="s">
        <v>37</v>
      </c>
      <c r="E27" s="1" t="s">
        <v>38</v>
      </c>
      <c r="H27" s="2" t="s">
        <v>39</v>
      </c>
      <c r="J27" s="1" t="s">
        <v>11</v>
      </c>
      <c r="K27" s="1" t="s">
        <v>40</v>
      </c>
    </row>
    <row r="28" spans="2:14" ht="18.75" customHeight="1" x14ac:dyDescent="0.25">
      <c r="E28" s="1" t="s">
        <v>41</v>
      </c>
      <c r="J28" s="1" t="s">
        <v>11</v>
      </c>
      <c r="K28" s="1" t="s">
        <v>42</v>
      </c>
    </row>
    <row r="29" spans="2:14" ht="18.75" customHeight="1" x14ac:dyDescent="0.25">
      <c r="E29" s="1" t="s">
        <v>43</v>
      </c>
      <c r="J29" s="1" t="s">
        <v>11</v>
      </c>
      <c r="K29" s="1" t="s">
        <v>44</v>
      </c>
    </row>
    <row r="30" spans="2:14" ht="18.75" customHeight="1" x14ac:dyDescent="0.25">
      <c r="C30" s="1" t="s">
        <v>45</v>
      </c>
      <c r="J30" s="1">
        <v>4537</v>
      </c>
    </row>
    <row r="31" spans="2:14" ht="18.75" customHeight="1" x14ac:dyDescent="0.25"/>
    <row r="32" spans="2:14" ht="18.75" customHeight="1" x14ac:dyDescent="0.25">
      <c r="B32" s="4" t="s">
        <v>287</v>
      </c>
      <c r="C32" s="3" t="s">
        <v>46</v>
      </c>
      <c r="E32" s="3"/>
    </row>
    <row r="33" spans="3:3" ht="18.75" customHeight="1" x14ac:dyDescent="0.25">
      <c r="C33" s="3" t="s">
        <v>47</v>
      </c>
    </row>
    <row r="34" spans="3:3" ht="18.75" customHeight="1" x14ac:dyDescent="0.25">
      <c r="C34" s="3" t="s">
        <v>48</v>
      </c>
    </row>
    <row r="35" spans="3:3" ht="18.75" customHeight="1" x14ac:dyDescent="0.25">
      <c r="C35" s="3" t="s">
        <v>49</v>
      </c>
    </row>
    <row r="36" spans="3:3" ht="18.75" customHeight="1" x14ac:dyDescent="0.25"/>
    <row r="37" spans="3:3" ht="18.75" customHeight="1" x14ac:dyDescent="0.25"/>
    <row r="38" spans="3:3" ht="18.75" customHeight="1" x14ac:dyDescent="0.25"/>
    <row r="39" spans="3:3" ht="18.75" customHeight="1" x14ac:dyDescent="0.25"/>
    <row r="40" spans="3:3" ht="18.75" customHeight="1" x14ac:dyDescent="0.25"/>
    <row r="41" spans="3:3" ht="18.75" customHeight="1" x14ac:dyDescent="0.25"/>
    <row r="42" spans="3:3" ht="18.75" customHeight="1" x14ac:dyDescent="0.25"/>
    <row r="43" spans="3:3" ht="18.75" customHeight="1" x14ac:dyDescent="0.25"/>
    <row r="44" spans="3:3" ht="18.75" customHeight="1" x14ac:dyDescent="0.25"/>
    <row r="45" spans="3:3" ht="18.75" customHeight="1" x14ac:dyDescent="0.25"/>
    <row r="46" spans="3:3" ht="18.75" customHeight="1" x14ac:dyDescent="0.25"/>
    <row r="47" spans="3:3" ht="18.75" customHeight="1" x14ac:dyDescent="0.25"/>
    <row r="48" spans="3:3"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sheetData>
  <phoneticPr fontId="8"/>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9"/>
  <sheetViews>
    <sheetView zoomScaleNormal="100" workbookViewId="0">
      <selection activeCell="U21" sqref="U21"/>
    </sheetView>
  </sheetViews>
  <sheetFormatPr defaultColWidth="12.5703125" defaultRowHeight="15" customHeight="1" x14ac:dyDescent="0.25"/>
  <cols>
    <col min="1" max="1" width="11" bestFit="1" customWidth="1"/>
    <col min="2" max="10" width="10.7109375" customWidth="1"/>
    <col min="11" max="28" width="7.5703125" customWidth="1"/>
  </cols>
  <sheetData>
    <row r="1" spans="1:15" ht="18.75" customHeight="1" x14ac:dyDescent="0.25">
      <c r="A1" s="24">
        <v>108</v>
      </c>
      <c r="B1" s="24" t="s">
        <v>293</v>
      </c>
      <c r="C1" s="24"/>
      <c r="D1" s="24"/>
      <c r="E1" s="24"/>
      <c r="F1" s="24"/>
      <c r="G1" s="24"/>
      <c r="H1" s="24"/>
      <c r="I1" s="24"/>
      <c r="J1" s="24"/>
    </row>
    <row r="2" spans="1:15" ht="18.75" customHeight="1" x14ac:dyDescent="0.25">
      <c r="A2" s="24"/>
      <c r="B2" s="25" t="s">
        <v>294</v>
      </c>
      <c r="C2" s="24"/>
      <c r="D2" s="24"/>
      <c r="E2" s="24"/>
      <c r="F2" s="24"/>
      <c r="G2" s="24"/>
      <c r="H2" s="24"/>
      <c r="I2" s="24"/>
      <c r="J2" s="24"/>
    </row>
    <row r="3" spans="1:15" ht="18.75" customHeight="1" x14ac:dyDescent="0.25">
      <c r="A3" s="24"/>
      <c r="B3" s="34" t="s">
        <v>292</v>
      </c>
      <c r="C3" s="24"/>
      <c r="D3" s="24"/>
      <c r="E3" s="24"/>
      <c r="F3" s="24"/>
      <c r="G3" s="24"/>
      <c r="H3" s="24"/>
      <c r="I3" s="24"/>
      <c r="J3" s="24"/>
    </row>
    <row r="4" spans="1:15" ht="18.75" customHeight="1" x14ac:dyDescent="0.25"/>
    <row r="5" spans="1:15" ht="18.75" customHeight="1" x14ac:dyDescent="0.25">
      <c r="A5" s="1" t="s">
        <v>50</v>
      </c>
      <c r="B5" s="3" t="s">
        <v>51</v>
      </c>
      <c r="G5" s="2"/>
      <c r="H5" s="4" t="s">
        <v>52</v>
      </c>
      <c r="K5" s="1" t="s">
        <v>53</v>
      </c>
    </row>
    <row r="6" spans="1:15" ht="18.75" customHeight="1" x14ac:dyDescent="0.25">
      <c r="B6" s="3" t="s">
        <v>54</v>
      </c>
      <c r="G6" s="2"/>
      <c r="H6" s="2"/>
      <c r="K6" s="3" t="s">
        <v>55</v>
      </c>
    </row>
    <row r="7" spans="1:15" ht="18.75" customHeight="1" x14ac:dyDescent="0.25">
      <c r="B7" s="3"/>
      <c r="G7" s="2"/>
      <c r="H7" s="2"/>
    </row>
    <row r="8" spans="1:15" ht="18.75" customHeight="1" x14ac:dyDescent="0.25">
      <c r="B8" s="3" t="s">
        <v>56</v>
      </c>
      <c r="C8" s="3"/>
      <c r="D8" s="3"/>
      <c r="H8" s="3" t="s">
        <v>57</v>
      </c>
      <c r="O8" s="3" t="s">
        <v>58</v>
      </c>
    </row>
    <row r="9" spans="1:15" ht="18.75" customHeight="1" x14ac:dyDescent="0.25">
      <c r="B9" s="3"/>
      <c r="H9" s="3" t="s">
        <v>59</v>
      </c>
    </row>
    <row r="10" spans="1:15" ht="18.75" customHeight="1" x14ac:dyDescent="0.25">
      <c r="B10" s="3" t="s">
        <v>60</v>
      </c>
      <c r="H10" s="3" t="s">
        <v>57</v>
      </c>
      <c r="O10" s="3" t="s">
        <v>58</v>
      </c>
    </row>
    <row r="11" spans="1:15" ht="18.75" customHeight="1" x14ac:dyDescent="0.25">
      <c r="B11" s="3"/>
      <c r="H11" s="3" t="s">
        <v>61</v>
      </c>
    </row>
    <row r="12" spans="1:15" ht="18.75" customHeight="1" x14ac:dyDescent="0.25">
      <c r="B12" s="3" t="s">
        <v>60</v>
      </c>
      <c r="H12" s="3" t="s">
        <v>57</v>
      </c>
      <c r="O12" s="3" t="s">
        <v>58</v>
      </c>
    </row>
    <row r="13" spans="1:15" ht="18.75" customHeight="1" x14ac:dyDescent="0.25">
      <c r="H13" s="3" t="s">
        <v>61</v>
      </c>
    </row>
    <row r="14" spans="1:15" ht="18.75" customHeight="1" x14ac:dyDescent="0.25">
      <c r="J14" s="1" t="s">
        <v>62</v>
      </c>
    </row>
    <row r="15" spans="1:15" ht="18.75" customHeight="1" x14ac:dyDescent="0.25"/>
    <row r="16" spans="1:15" ht="18.75" customHeight="1" x14ac:dyDescent="0.25">
      <c r="A16" s="1" t="s">
        <v>63</v>
      </c>
      <c r="B16" s="3" t="s">
        <v>64</v>
      </c>
    </row>
    <row r="17" spans="2:10" ht="18.75" customHeight="1" x14ac:dyDescent="0.25">
      <c r="B17" s="3" t="s">
        <v>65</v>
      </c>
    </row>
    <row r="18" spans="2:10" ht="18.75" customHeight="1" x14ac:dyDescent="0.25">
      <c r="B18" s="3"/>
      <c r="C18" s="3"/>
      <c r="D18" s="3"/>
      <c r="E18" s="3"/>
      <c r="F18" s="3"/>
      <c r="G18" s="3"/>
      <c r="H18" s="3"/>
      <c r="I18" s="3"/>
      <c r="J18" s="3"/>
    </row>
    <row r="19" spans="2:10" ht="18.75" customHeight="1" x14ac:dyDescent="0.25">
      <c r="B19" s="4" t="s">
        <v>297</v>
      </c>
      <c r="C19" s="3" t="s">
        <v>66</v>
      </c>
      <c r="D19" s="3"/>
      <c r="E19" s="3"/>
      <c r="F19" s="3"/>
      <c r="G19" s="3"/>
      <c r="H19" s="3"/>
      <c r="I19" s="3"/>
      <c r="J19" s="3"/>
    </row>
    <row r="20" spans="2:10" ht="18.75" customHeight="1" x14ac:dyDescent="0.25">
      <c r="C20" s="3"/>
      <c r="D20" s="5" t="s">
        <v>67</v>
      </c>
      <c r="E20" s="5" t="s">
        <v>68</v>
      </c>
      <c r="F20" s="5" t="s">
        <v>69</v>
      </c>
      <c r="G20" s="5" t="s">
        <v>70</v>
      </c>
      <c r="H20" s="5" t="s">
        <v>71</v>
      </c>
      <c r="I20" s="5" t="s">
        <v>72</v>
      </c>
      <c r="J20" s="5" t="s">
        <v>73</v>
      </c>
    </row>
    <row r="21" spans="2:10" ht="18.75" customHeight="1" x14ac:dyDescent="0.25">
      <c r="C21" s="3"/>
      <c r="D21" s="5" t="s">
        <v>68</v>
      </c>
      <c r="E21" s="5" t="s">
        <v>69</v>
      </c>
      <c r="F21" s="5" t="s">
        <v>70</v>
      </c>
      <c r="G21" s="5" t="s">
        <v>71</v>
      </c>
      <c r="H21" s="5" t="s">
        <v>72</v>
      </c>
      <c r="I21" s="5" t="s">
        <v>73</v>
      </c>
      <c r="J21" s="5" t="s">
        <v>74</v>
      </c>
    </row>
    <row r="22" spans="2:10" ht="18.75" customHeight="1" x14ac:dyDescent="0.25"/>
    <row r="23" spans="2:10" ht="18.75" customHeight="1" x14ac:dyDescent="0.25">
      <c r="B23" s="4" t="s">
        <v>298</v>
      </c>
      <c r="C23" s="3" t="s">
        <v>75</v>
      </c>
    </row>
    <row r="24" spans="2:10" ht="18.75" customHeight="1" x14ac:dyDescent="0.25">
      <c r="C24" s="3" t="s">
        <v>76</v>
      </c>
    </row>
    <row r="25" spans="2:10" ht="18.75" customHeight="1" x14ac:dyDescent="0.25">
      <c r="C25" s="5" t="s">
        <v>77</v>
      </c>
      <c r="D25" s="5" t="s">
        <v>78</v>
      </c>
      <c r="E25" s="5" t="s">
        <v>79</v>
      </c>
      <c r="F25" s="5" t="s">
        <v>74</v>
      </c>
    </row>
    <row r="26" spans="2:10" ht="18.75" customHeight="1" x14ac:dyDescent="0.25">
      <c r="C26" s="5">
        <v>1</v>
      </c>
      <c r="D26" s="5">
        <v>1112233</v>
      </c>
      <c r="E26" s="5">
        <v>111223</v>
      </c>
      <c r="F26" s="5">
        <v>3</v>
      </c>
      <c r="H26" s="3" t="s">
        <v>80</v>
      </c>
    </row>
    <row r="27" spans="2:10" ht="18.75" customHeight="1" x14ac:dyDescent="0.25">
      <c r="C27" s="5">
        <v>2</v>
      </c>
      <c r="D27" s="5">
        <v>1112323</v>
      </c>
      <c r="E27" s="5">
        <v>111232</v>
      </c>
      <c r="F27" s="5">
        <v>3</v>
      </c>
      <c r="H27" s="3" t="s">
        <v>81</v>
      </c>
    </row>
    <row r="28" spans="2:10" ht="18.75" customHeight="1" x14ac:dyDescent="0.25">
      <c r="C28" s="3" t="s">
        <v>82</v>
      </c>
      <c r="H28" s="3" t="s">
        <v>83</v>
      </c>
    </row>
    <row r="29" spans="2:10" ht="18.75" customHeight="1" x14ac:dyDescent="0.25">
      <c r="C29" s="5">
        <v>209</v>
      </c>
      <c r="D29" s="5">
        <v>3322111</v>
      </c>
      <c r="E29" s="5">
        <v>332211</v>
      </c>
      <c r="F29" s="5">
        <v>1</v>
      </c>
      <c r="H29" s="3" t="s">
        <v>84</v>
      </c>
    </row>
    <row r="30" spans="2:10" ht="18.75" customHeight="1" x14ac:dyDescent="0.25">
      <c r="C30" s="5">
        <v>210</v>
      </c>
      <c r="D30" s="5">
        <v>3321211</v>
      </c>
      <c r="E30" s="5">
        <v>332121</v>
      </c>
      <c r="F30" s="5">
        <v>1</v>
      </c>
      <c r="H30" s="3" t="s">
        <v>85</v>
      </c>
    </row>
    <row r="31" spans="2:10" ht="18.75" customHeight="1" x14ac:dyDescent="0.25"/>
    <row r="32" spans="2:10" ht="18.75" customHeight="1" x14ac:dyDescent="0.25">
      <c r="H32" s="31" t="s">
        <v>295</v>
      </c>
    </row>
    <row r="33" spans="8:8" ht="18.75" customHeight="1" x14ac:dyDescent="0.25">
      <c r="H33" s="3" t="s">
        <v>86</v>
      </c>
    </row>
    <row r="34" spans="8:8" ht="18.75" customHeight="1" x14ac:dyDescent="0.25">
      <c r="H34" s="3" t="s">
        <v>87</v>
      </c>
    </row>
    <row r="35" spans="8:8" ht="18.75" customHeight="1" x14ac:dyDescent="0.25"/>
    <row r="36" spans="8:8" ht="18.75" customHeight="1" x14ac:dyDescent="0.25">
      <c r="H36" s="32" t="s">
        <v>296</v>
      </c>
    </row>
    <row r="37" spans="8:8" ht="18.75" customHeight="1" x14ac:dyDescent="0.25"/>
    <row r="38" spans="8:8" ht="18.75" customHeight="1" x14ac:dyDescent="0.25"/>
    <row r="39" spans="8:8" ht="18.75" customHeight="1" x14ac:dyDescent="0.25"/>
    <row r="40" spans="8:8" ht="18.75" customHeight="1" x14ac:dyDescent="0.25"/>
    <row r="41" spans="8:8" ht="18.75" customHeight="1" x14ac:dyDescent="0.25"/>
    <row r="42" spans="8:8" ht="18.75" customHeight="1" x14ac:dyDescent="0.25"/>
    <row r="43" spans="8:8" ht="18.75" customHeight="1" x14ac:dyDescent="0.25"/>
    <row r="44" spans="8:8" ht="18.75" customHeight="1" x14ac:dyDescent="0.25"/>
    <row r="45" spans="8:8" ht="18.75" customHeight="1" x14ac:dyDescent="0.25"/>
    <row r="46" spans="8:8" ht="18.75" customHeight="1" x14ac:dyDescent="0.25"/>
    <row r="47" spans="8:8" ht="18.75" customHeight="1" x14ac:dyDescent="0.25"/>
    <row r="48" spans="8: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row r="1002" ht="18.75" customHeight="1" x14ac:dyDescent="0.25"/>
    <row r="1003" ht="18.75" customHeight="1" x14ac:dyDescent="0.25"/>
    <row r="1004" ht="18.75" customHeight="1" x14ac:dyDescent="0.25"/>
    <row r="1005" ht="18.75" customHeight="1" x14ac:dyDescent="0.25"/>
    <row r="1006" ht="18.75" customHeight="1" x14ac:dyDescent="0.25"/>
    <row r="1007" ht="18.75" customHeight="1" x14ac:dyDescent="0.25"/>
    <row r="1008" ht="18.75" customHeight="1" x14ac:dyDescent="0.25"/>
    <row r="1009" ht="18.75" customHeight="1" x14ac:dyDescent="0.25"/>
  </sheetData>
  <phoneticPr fontId="8"/>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workbookViewId="0">
      <selection activeCell="H21" sqref="H21"/>
    </sheetView>
  </sheetViews>
  <sheetFormatPr defaultColWidth="12.5703125" defaultRowHeight="15" customHeight="1" x14ac:dyDescent="0.25"/>
  <cols>
    <col min="1" max="1" width="7.5703125" customWidth="1"/>
    <col min="2" max="9" width="9.5703125" customWidth="1"/>
    <col min="10" max="26" width="7.5703125" customWidth="1"/>
  </cols>
  <sheetData>
    <row r="1" spans="1:19" ht="18.75" customHeight="1" x14ac:dyDescent="0.25">
      <c r="A1" s="24">
        <v>109</v>
      </c>
      <c r="B1" s="24" t="s">
        <v>299</v>
      </c>
      <c r="C1" s="24"/>
      <c r="D1" s="24"/>
      <c r="E1" s="24"/>
      <c r="F1" s="24"/>
      <c r="G1" s="24"/>
      <c r="H1" s="24"/>
      <c r="I1" s="24"/>
      <c r="J1" s="24"/>
      <c r="O1" s="24"/>
      <c r="P1" s="24" t="s">
        <v>300</v>
      </c>
      <c r="Q1" s="24">
        <v>1</v>
      </c>
      <c r="R1" s="24">
        <v>3</v>
      </c>
      <c r="S1" s="24">
        <v>3</v>
      </c>
    </row>
    <row r="2" spans="1:19" ht="18.75" customHeight="1" x14ac:dyDescent="0.25">
      <c r="A2" s="24"/>
      <c r="B2" s="25" t="s">
        <v>301</v>
      </c>
      <c r="C2" s="24"/>
      <c r="D2" s="24"/>
      <c r="E2" s="24"/>
      <c r="F2" s="24"/>
      <c r="G2" s="24"/>
      <c r="H2" s="24"/>
      <c r="I2" s="24"/>
      <c r="J2" s="24"/>
      <c r="O2" s="24"/>
      <c r="P2" s="24"/>
      <c r="Q2" s="24">
        <v>2</v>
      </c>
      <c r="R2" s="24">
        <v>1</v>
      </c>
      <c r="S2" s="24">
        <v>2</v>
      </c>
    </row>
    <row r="3" spans="1:19" ht="18.75" customHeight="1" x14ac:dyDescent="0.25">
      <c r="A3" s="24"/>
      <c r="B3" s="24" t="s">
        <v>302</v>
      </c>
      <c r="C3" s="24"/>
      <c r="D3" s="24"/>
      <c r="E3" s="24"/>
      <c r="F3" s="24"/>
      <c r="G3" s="24"/>
      <c r="H3" s="24"/>
      <c r="I3" s="24"/>
      <c r="J3" s="24"/>
      <c r="O3" s="24"/>
      <c r="P3" s="24"/>
      <c r="Q3" s="24">
        <v>1</v>
      </c>
      <c r="R3" s="24">
        <v>3</v>
      </c>
      <c r="S3" s="24">
        <v>2</v>
      </c>
    </row>
    <row r="4" spans="1:19" ht="18.75" customHeight="1" x14ac:dyDescent="0.25">
      <c r="A4" s="24"/>
      <c r="B4" s="24" t="s">
        <v>303</v>
      </c>
      <c r="C4" s="24"/>
      <c r="D4" s="24"/>
      <c r="E4" s="24"/>
      <c r="F4" s="24"/>
      <c r="G4" s="24"/>
      <c r="H4" s="24"/>
      <c r="I4" s="24"/>
      <c r="J4" s="24"/>
      <c r="K4" s="24"/>
      <c r="L4" s="24"/>
      <c r="M4" s="24"/>
      <c r="N4" s="24"/>
      <c r="O4" s="24"/>
    </row>
    <row r="5" spans="1:19" ht="18.75" customHeight="1" x14ac:dyDescent="0.25"/>
    <row r="6" spans="1:19" ht="18.75" customHeight="1" x14ac:dyDescent="0.25">
      <c r="B6" s="1" t="s">
        <v>88</v>
      </c>
      <c r="G6" s="1" t="s">
        <v>89</v>
      </c>
      <c r="I6" s="4" t="s">
        <v>287</v>
      </c>
      <c r="J6" s="1" t="s">
        <v>90</v>
      </c>
      <c r="K6" s="1" t="s">
        <v>91</v>
      </c>
    </row>
    <row r="7" spans="1:19" ht="18.75" customHeight="1" x14ac:dyDescent="0.25">
      <c r="B7" s="33" t="s">
        <v>305</v>
      </c>
      <c r="E7" s="2" t="s">
        <v>304</v>
      </c>
      <c r="K7" s="1" t="s">
        <v>92</v>
      </c>
    </row>
    <row r="8" spans="1:19" ht="18.75" customHeight="1" x14ac:dyDescent="0.25">
      <c r="B8" s="1" t="s">
        <v>93</v>
      </c>
      <c r="E8" s="1" t="s">
        <v>94</v>
      </c>
      <c r="F8" s="1">
        <f>362880/6</f>
        <v>60480</v>
      </c>
      <c r="K8" s="1" t="s">
        <v>95</v>
      </c>
      <c r="L8" s="1" t="s">
        <v>96</v>
      </c>
    </row>
    <row r="9" spans="1:19" ht="18.75" customHeight="1" x14ac:dyDescent="0.25">
      <c r="B9" s="1" t="s">
        <v>97</v>
      </c>
      <c r="E9" s="1" t="s">
        <v>94</v>
      </c>
      <c r="F9" s="1">
        <f t="shared" ref="F9:F10" si="0">F8/6</f>
        <v>10080</v>
      </c>
    </row>
    <row r="10" spans="1:19" ht="18.75" customHeight="1" x14ac:dyDescent="0.25">
      <c r="B10" s="1" t="s">
        <v>98</v>
      </c>
      <c r="E10" s="1" t="s">
        <v>94</v>
      </c>
      <c r="F10" s="1">
        <f t="shared" si="0"/>
        <v>1680</v>
      </c>
      <c r="J10" s="1" t="s">
        <v>99</v>
      </c>
      <c r="K10" s="1" t="s">
        <v>100</v>
      </c>
    </row>
    <row r="11" spans="1:19" ht="18.75" customHeight="1" x14ac:dyDescent="0.25">
      <c r="K11" s="1" t="s">
        <v>101</v>
      </c>
    </row>
    <row r="12" spans="1:19" ht="18.75" customHeight="1" x14ac:dyDescent="0.25">
      <c r="B12" s="1" t="s">
        <v>102</v>
      </c>
      <c r="F12" s="1">
        <v>1680</v>
      </c>
      <c r="K12" s="1" t="s">
        <v>103</v>
      </c>
      <c r="P12" s="3" t="s">
        <v>104</v>
      </c>
    </row>
    <row r="13" spans="1:19" ht="18.75" customHeight="1" x14ac:dyDescent="0.25">
      <c r="B13" s="1" t="s">
        <v>105</v>
      </c>
      <c r="F13" s="1">
        <v>6</v>
      </c>
      <c r="G13" s="33" t="s">
        <v>306</v>
      </c>
      <c r="K13" s="3" t="s">
        <v>106</v>
      </c>
    </row>
    <row r="14" spans="1:19" ht="18.75" customHeight="1" x14ac:dyDescent="0.25">
      <c r="B14" s="1" t="s">
        <v>107</v>
      </c>
      <c r="F14" s="1">
        <v>90</v>
      </c>
      <c r="G14" s="32" t="s">
        <v>307</v>
      </c>
      <c r="K14" s="1" t="s">
        <v>108</v>
      </c>
      <c r="P14" s="1" t="s">
        <v>109</v>
      </c>
    </row>
    <row r="15" spans="1:19" ht="18.75" customHeight="1" x14ac:dyDescent="0.25">
      <c r="F15" s="1">
        <f>F12-F13-F14</f>
        <v>1584</v>
      </c>
    </row>
    <row r="16" spans="1:19"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sheetData>
  <phoneticPr fontId="8"/>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98"/>
  <sheetViews>
    <sheetView topLeftCell="A13" workbookViewId="0">
      <selection activeCell="G37" sqref="G37"/>
    </sheetView>
  </sheetViews>
  <sheetFormatPr defaultColWidth="12.5703125" defaultRowHeight="15" customHeight="1" x14ac:dyDescent="0.25"/>
  <cols>
    <col min="1" max="15" width="9.42578125" customWidth="1"/>
    <col min="16" max="24" width="12.7109375" customWidth="1"/>
    <col min="25" max="25" width="9.42578125" customWidth="1"/>
  </cols>
  <sheetData>
    <row r="1" spans="1:24" ht="18.75" customHeight="1" x14ac:dyDescent="0.25">
      <c r="A1" s="24">
        <v>110</v>
      </c>
      <c r="B1" s="24" t="s">
        <v>309</v>
      </c>
      <c r="C1" s="24"/>
      <c r="D1" s="24"/>
      <c r="E1" s="24"/>
      <c r="F1" s="24"/>
      <c r="G1" s="24"/>
      <c r="H1" s="24"/>
    </row>
    <row r="2" spans="1:24" ht="18.75" customHeight="1" x14ac:dyDescent="0.25">
      <c r="A2" s="24"/>
      <c r="B2" s="25" t="s">
        <v>308</v>
      </c>
      <c r="C2" s="24"/>
      <c r="D2" s="24"/>
      <c r="E2" s="24"/>
      <c r="F2" s="24"/>
      <c r="G2" s="24"/>
      <c r="H2" s="24"/>
    </row>
    <row r="3" spans="1:24" ht="18.75" customHeight="1" x14ac:dyDescent="0.25">
      <c r="A3" s="24"/>
      <c r="B3" s="34" t="s">
        <v>278</v>
      </c>
      <c r="C3" s="24" t="s">
        <v>310</v>
      </c>
      <c r="D3" s="24"/>
      <c r="E3" s="24"/>
      <c r="F3" s="24"/>
      <c r="G3" s="24"/>
      <c r="H3" s="24"/>
    </row>
    <row r="4" spans="1:24" ht="18.75" customHeight="1" x14ac:dyDescent="0.25">
      <c r="A4" s="24"/>
      <c r="B4" s="34" t="s">
        <v>279</v>
      </c>
      <c r="C4" s="24" t="s">
        <v>311</v>
      </c>
      <c r="D4" s="24"/>
      <c r="E4" s="24"/>
      <c r="F4" s="24"/>
      <c r="G4" s="24"/>
      <c r="H4" s="24"/>
    </row>
    <row r="5" spans="1:24" ht="18.75" customHeight="1" x14ac:dyDescent="0.25">
      <c r="A5" s="24"/>
      <c r="B5" s="34" t="s">
        <v>280</v>
      </c>
      <c r="C5" s="24" t="s">
        <v>312</v>
      </c>
      <c r="D5" s="24"/>
      <c r="E5" s="24"/>
      <c r="F5" s="24"/>
      <c r="G5" s="24"/>
      <c r="H5" s="24"/>
    </row>
    <row r="6" spans="1:24" ht="18.75" customHeight="1" x14ac:dyDescent="0.25"/>
    <row r="7" spans="1:24" ht="18.75" customHeight="1" x14ac:dyDescent="0.25">
      <c r="B7" s="1" t="s">
        <v>0</v>
      </c>
      <c r="C7" s="1" t="s">
        <v>110</v>
      </c>
      <c r="O7" s="4" t="s">
        <v>287</v>
      </c>
      <c r="P7" s="26" t="s">
        <v>313</v>
      </c>
    </row>
    <row r="8" spans="1:24" ht="18.75" customHeight="1" x14ac:dyDescent="0.25">
      <c r="C8" s="1" t="s">
        <v>111</v>
      </c>
      <c r="I8" s="3" t="s">
        <v>112</v>
      </c>
      <c r="P8" s="1" t="s">
        <v>0</v>
      </c>
      <c r="Q8" s="21" t="s">
        <v>316</v>
      </c>
      <c r="R8" s="32" t="s">
        <v>318</v>
      </c>
      <c r="S8" s="21" t="s">
        <v>317</v>
      </c>
      <c r="T8" s="1" t="s">
        <v>7</v>
      </c>
      <c r="U8" s="32" t="s">
        <v>316</v>
      </c>
      <c r="V8" s="32" t="s">
        <v>318</v>
      </c>
      <c r="W8" s="32" t="s">
        <v>319</v>
      </c>
    </row>
    <row r="9" spans="1:24" ht="18.75" customHeight="1" x14ac:dyDescent="0.25">
      <c r="C9" s="1" t="s">
        <v>114</v>
      </c>
      <c r="I9" s="1" t="s">
        <v>115</v>
      </c>
      <c r="J9" s="1" t="s">
        <v>116</v>
      </c>
      <c r="P9" s="1" t="s">
        <v>113</v>
      </c>
      <c r="Q9" s="1">
        <v>32</v>
      </c>
      <c r="R9" s="1">
        <v>-2</v>
      </c>
      <c r="S9" s="1">
        <v>30</v>
      </c>
      <c r="U9" s="1">
        <v>243</v>
      </c>
      <c r="V9" s="1">
        <v>-3</v>
      </c>
      <c r="W9" s="1">
        <v>-90</v>
      </c>
      <c r="X9" s="1">
        <f>U9+V9+W9</f>
        <v>150</v>
      </c>
    </row>
    <row r="10" spans="1:24" ht="18.75" customHeight="1" x14ac:dyDescent="0.25">
      <c r="C10" s="1" t="s">
        <v>117</v>
      </c>
      <c r="I10" s="1" t="s">
        <v>118</v>
      </c>
      <c r="J10" s="1" t="s">
        <v>119</v>
      </c>
      <c r="W10" s="33" t="s">
        <v>320</v>
      </c>
    </row>
    <row r="11" spans="1:24" ht="18.75" customHeight="1" x14ac:dyDescent="0.25">
      <c r="C11" s="1" t="s">
        <v>121</v>
      </c>
      <c r="P11" s="1" t="s">
        <v>120</v>
      </c>
      <c r="Q11" s="1">
        <v>64</v>
      </c>
      <c r="R11" s="1">
        <v>-2</v>
      </c>
      <c r="S11" s="1">
        <v>62</v>
      </c>
      <c r="U11" s="1">
        <v>729</v>
      </c>
      <c r="V11" s="1">
        <v>-3</v>
      </c>
      <c r="W11" s="1">
        <v>-186</v>
      </c>
      <c r="X11" s="1">
        <f>U11+V11+W11</f>
        <v>540</v>
      </c>
    </row>
    <row r="12" spans="1:24" ht="18.75" customHeight="1" x14ac:dyDescent="0.25">
      <c r="C12" s="1" t="s">
        <v>122</v>
      </c>
      <c r="I12" s="1" t="s">
        <v>123</v>
      </c>
      <c r="W12" s="33" t="s">
        <v>321</v>
      </c>
    </row>
    <row r="13" spans="1:24" ht="18.75" customHeight="1" x14ac:dyDescent="0.25">
      <c r="C13" s="1" t="s">
        <v>125</v>
      </c>
      <c r="I13" s="1" t="s">
        <v>126</v>
      </c>
      <c r="P13" s="1" t="s">
        <v>124</v>
      </c>
      <c r="Q13" s="1">
        <v>128</v>
      </c>
      <c r="R13" s="1">
        <v>-2</v>
      </c>
      <c r="S13" s="1">
        <v>126</v>
      </c>
      <c r="U13" s="1">
        <v>2187</v>
      </c>
      <c r="V13" s="1">
        <v>-3</v>
      </c>
      <c r="W13" s="1">
        <v>-378</v>
      </c>
      <c r="X13" s="1">
        <f>U13+V13+W13</f>
        <v>1806</v>
      </c>
    </row>
    <row r="14" spans="1:24" ht="18.75" customHeight="1" x14ac:dyDescent="0.25">
      <c r="P14" s="2"/>
      <c r="W14" s="33" t="s">
        <v>322</v>
      </c>
    </row>
    <row r="15" spans="1:24" ht="18.75" customHeight="1" x14ac:dyDescent="0.25">
      <c r="B15" s="1" t="s">
        <v>7</v>
      </c>
      <c r="C15" s="1" t="s">
        <v>128</v>
      </c>
      <c r="P15" s="21" t="s">
        <v>324</v>
      </c>
      <c r="Q15" s="37" t="s">
        <v>325</v>
      </c>
      <c r="R15" s="21">
        <v>-2</v>
      </c>
      <c r="S15" s="37" t="s">
        <v>326</v>
      </c>
      <c r="U15" s="37" t="s">
        <v>327</v>
      </c>
      <c r="V15">
        <v>-3</v>
      </c>
      <c r="W15" s="39" t="s">
        <v>328</v>
      </c>
      <c r="X15" s="38" t="s">
        <v>329</v>
      </c>
    </row>
    <row r="16" spans="1:24" ht="18.75" customHeight="1" x14ac:dyDescent="0.25">
      <c r="C16" s="1" t="s">
        <v>111</v>
      </c>
      <c r="I16" s="1" t="s">
        <v>129</v>
      </c>
    </row>
    <row r="17" spans="2:16" ht="18.75" customHeight="1" x14ac:dyDescent="0.25">
      <c r="C17" s="1" t="s">
        <v>130</v>
      </c>
      <c r="I17" s="1" t="s">
        <v>131</v>
      </c>
      <c r="J17" s="1" t="s">
        <v>132</v>
      </c>
      <c r="P17" s="3" t="s">
        <v>127</v>
      </c>
    </row>
    <row r="18" spans="2:16" ht="18.75" customHeight="1" x14ac:dyDescent="0.25">
      <c r="C18" s="1" t="s">
        <v>133</v>
      </c>
      <c r="I18" s="1" t="s">
        <v>134</v>
      </c>
      <c r="J18" s="1" t="s">
        <v>135</v>
      </c>
    </row>
    <row r="19" spans="2:16" ht="18.75" customHeight="1" x14ac:dyDescent="0.25">
      <c r="C19" s="1" t="s">
        <v>121</v>
      </c>
    </row>
    <row r="20" spans="2:16" ht="18.75" customHeight="1" x14ac:dyDescent="0.25">
      <c r="C20" s="1" t="s">
        <v>136</v>
      </c>
      <c r="I20" s="1" t="s">
        <v>137</v>
      </c>
    </row>
    <row r="21" spans="2:16" ht="18.75" customHeight="1" x14ac:dyDescent="0.25">
      <c r="C21" s="1" t="s">
        <v>138</v>
      </c>
      <c r="I21" s="1" t="s">
        <v>139</v>
      </c>
    </row>
    <row r="22" spans="2:16" ht="18.75" customHeight="1" x14ac:dyDescent="0.25">
      <c r="C22" s="1" t="s">
        <v>140</v>
      </c>
    </row>
    <row r="23" spans="2:16" ht="18.75" customHeight="1" x14ac:dyDescent="0.25">
      <c r="C23" s="36" t="s">
        <v>323</v>
      </c>
      <c r="F23" s="31" t="s">
        <v>315</v>
      </c>
      <c r="I23" s="36"/>
      <c r="L23" s="31"/>
    </row>
    <row r="24" spans="2:16" ht="18.75" customHeight="1" x14ac:dyDescent="0.25"/>
    <row r="25" spans="2:16" ht="18.75" customHeight="1" x14ac:dyDescent="0.25">
      <c r="B25" s="1" t="s">
        <v>19</v>
      </c>
      <c r="C25" s="1" t="s">
        <v>142</v>
      </c>
    </row>
    <row r="26" spans="2:16" ht="18.75" customHeight="1" x14ac:dyDescent="0.25">
      <c r="C26" s="1" t="s">
        <v>111</v>
      </c>
      <c r="I26" s="1" t="s">
        <v>143</v>
      </c>
    </row>
    <row r="27" spans="2:16" ht="18.75" customHeight="1" x14ac:dyDescent="0.25">
      <c r="C27" s="1" t="s">
        <v>144</v>
      </c>
      <c r="H27" s="2"/>
    </row>
    <row r="28" spans="2:16" ht="18.75" customHeight="1" x14ac:dyDescent="0.25">
      <c r="C28" s="1" t="s">
        <v>145</v>
      </c>
    </row>
    <row r="29" spans="2:16" ht="18.75" customHeight="1" x14ac:dyDescent="0.25">
      <c r="C29" s="1" t="s">
        <v>121</v>
      </c>
    </row>
    <row r="30" spans="2:16" ht="18.75" customHeight="1" x14ac:dyDescent="0.25">
      <c r="C30" s="1" t="s">
        <v>146</v>
      </c>
    </row>
    <row r="31" spans="2:16" ht="18.75" customHeight="1" x14ac:dyDescent="0.25">
      <c r="C31" s="1" t="s">
        <v>147</v>
      </c>
      <c r="I31" s="1" t="s">
        <v>148</v>
      </c>
    </row>
    <row r="32" spans="2:16" ht="18.75" customHeight="1" x14ac:dyDescent="0.25">
      <c r="C32" s="3" t="s">
        <v>149</v>
      </c>
    </row>
    <row r="33" spans="3:5" ht="18.75" customHeight="1" x14ac:dyDescent="0.25">
      <c r="C33" s="35" t="s">
        <v>314</v>
      </c>
      <c r="E33" s="3" t="s">
        <v>141</v>
      </c>
    </row>
    <row r="34" spans="3:5" ht="18.75" customHeight="1" x14ac:dyDescent="0.25">
      <c r="C34" s="3" t="s">
        <v>150</v>
      </c>
    </row>
    <row r="35" spans="3:5" ht="18.75" customHeight="1" x14ac:dyDescent="0.25">
      <c r="C35" s="35" t="s">
        <v>513</v>
      </c>
    </row>
    <row r="36" spans="3:5" ht="18.75" customHeight="1" x14ac:dyDescent="0.25">
      <c r="C36" s="3" t="s">
        <v>151</v>
      </c>
    </row>
    <row r="37" spans="3:5" ht="18.75" customHeight="1" x14ac:dyDescent="0.25"/>
    <row r="38" spans="3:5" ht="18.75" customHeight="1" x14ac:dyDescent="0.25"/>
    <row r="39" spans="3:5" ht="18.75" customHeight="1" x14ac:dyDescent="0.25"/>
    <row r="40" spans="3:5" ht="18.75" customHeight="1" x14ac:dyDescent="0.25"/>
    <row r="41" spans="3:5" ht="18.75" customHeight="1" x14ac:dyDescent="0.25"/>
    <row r="42" spans="3:5" ht="18.75" customHeight="1" x14ac:dyDescent="0.25"/>
    <row r="43" spans="3:5" ht="18.75" customHeight="1" x14ac:dyDescent="0.25"/>
    <row r="44" spans="3:5" ht="18.75" customHeight="1" x14ac:dyDescent="0.25"/>
    <row r="45" spans="3:5" ht="18.75" customHeight="1" x14ac:dyDescent="0.25"/>
    <row r="46" spans="3:5" ht="18.75" customHeight="1" x14ac:dyDescent="0.25"/>
    <row r="47" spans="3:5" ht="18.75" customHeight="1" x14ac:dyDescent="0.25"/>
    <row r="48" spans="3:5"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sheetData>
  <phoneticPr fontId="8"/>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998"/>
  <sheetViews>
    <sheetView topLeftCell="A10" workbookViewId="0">
      <selection activeCell="M13" sqref="M13"/>
    </sheetView>
  </sheetViews>
  <sheetFormatPr defaultColWidth="12.5703125" defaultRowHeight="15" customHeight="1" x14ac:dyDescent="0.25"/>
  <cols>
    <col min="1" max="28" width="7.5703125" customWidth="1"/>
  </cols>
  <sheetData>
    <row r="1" spans="1:39" ht="18.75" customHeight="1" x14ac:dyDescent="0.25">
      <c r="A1" s="24">
        <v>111</v>
      </c>
      <c r="B1" s="24" t="s">
        <v>276</v>
      </c>
    </row>
    <row r="2" spans="1:39" ht="18.75" customHeight="1" x14ac:dyDescent="0.25">
      <c r="A2" s="24"/>
      <c r="B2" s="25" t="s">
        <v>277</v>
      </c>
      <c r="AE2" s="4" t="s">
        <v>287</v>
      </c>
    </row>
    <row r="3" spans="1:39" ht="18.75" customHeight="1" x14ac:dyDescent="0.25">
      <c r="AF3" s="40" t="s">
        <v>336</v>
      </c>
      <c r="AG3" s="40" t="s">
        <v>337</v>
      </c>
      <c r="AH3" s="40" t="s">
        <v>338</v>
      </c>
      <c r="AJ3" s="21" t="s">
        <v>341</v>
      </c>
    </row>
    <row r="4" spans="1:39" ht="18.75" customHeight="1" x14ac:dyDescent="0.25">
      <c r="AE4">
        <v>1</v>
      </c>
      <c r="AF4" s="40">
        <v>12</v>
      </c>
      <c r="AG4" s="42">
        <v>0</v>
      </c>
      <c r="AH4" s="40">
        <v>0</v>
      </c>
      <c r="AJ4" s="22" t="s">
        <v>342</v>
      </c>
    </row>
    <row r="5" spans="1:39" ht="18.75" customHeight="1" x14ac:dyDescent="0.25">
      <c r="B5" s="1" t="s">
        <v>152</v>
      </c>
      <c r="C5" s="1" t="s">
        <v>153</v>
      </c>
      <c r="I5" s="1" t="s">
        <v>154</v>
      </c>
      <c r="J5" s="1" t="s">
        <v>155</v>
      </c>
      <c r="O5" s="1" t="s">
        <v>152</v>
      </c>
      <c r="V5" s="1" t="s">
        <v>154</v>
      </c>
      <c r="AE5">
        <v>2</v>
      </c>
      <c r="AF5" s="40">
        <v>11</v>
      </c>
      <c r="AG5" s="42">
        <v>0</v>
      </c>
      <c r="AH5" s="40">
        <v>1</v>
      </c>
      <c r="AJ5" s="21" t="s">
        <v>343</v>
      </c>
    </row>
    <row r="6" spans="1:39" ht="18.75" customHeight="1" x14ac:dyDescent="0.25">
      <c r="B6" s="6">
        <f>6+5+4+3+2+1</f>
        <v>21</v>
      </c>
      <c r="C6" s="6" t="s">
        <v>156</v>
      </c>
      <c r="D6" s="6" t="s">
        <v>157</v>
      </c>
      <c r="E6" s="6" t="s">
        <v>158</v>
      </c>
      <c r="F6" s="6" t="s">
        <v>159</v>
      </c>
      <c r="G6" s="6" t="s">
        <v>160</v>
      </c>
      <c r="I6" s="6">
        <f>8+7+6+5+4+3+2+1</f>
        <v>36</v>
      </c>
      <c r="J6" s="6" t="s">
        <v>156</v>
      </c>
      <c r="K6" s="6" t="s">
        <v>157</v>
      </c>
      <c r="L6" s="6" t="s">
        <v>158</v>
      </c>
      <c r="M6" s="2"/>
      <c r="AE6">
        <v>3</v>
      </c>
      <c r="AF6" s="40">
        <v>11</v>
      </c>
      <c r="AG6" s="40">
        <v>1</v>
      </c>
      <c r="AH6" s="40">
        <v>0</v>
      </c>
      <c r="AJ6" s="32" t="s">
        <v>344</v>
      </c>
    </row>
    <row r="7" spans="1:39" ht="18.75" customHeight="1" x14ac:dyDescent="0.25">
      <c r="B7" s="6">
        <v>1</v>
      </c>
      <c r="C7" s="6">
        <v>0</v>
      </c>
      <c r="D7" s="6">
        <v>0</v>
      </c>
      <c r="E7" s="6">
        <v>5</v>
      </c>
      <c r="F7" s="6">
        <v>2</v>
      </c>
      <c r="G7" s="6">
        <v>21</v>
      </c>
      <c r="I7" s="6">
        <v>1</v>
      </c>
      <c r="J7" s="6">
        <v>0</v>
      </c>
      <c r="K7" s="6">
        <v>0</v>
      </c>
      <c r="L7" s="6">
        <v>7</v>
      </c>
      <c r="M7" s="2"/>
      <c r="O7" s="1" t="s">
        <v>161</v>
      </c>
      <c r="AE7">
        <v>4</v>
      </c>
      <c r="AF7" s="40">
        <v>10</v>
      </c>
      <c r="AG7" s="42">
        <v>0</v>
      </c>
      <c r="AH7" s="40">
        <v>2</v>
      </c>
      <c r="AJ7" s="32" t="s">
        <v>345</v>
      </c>
    </row>
    <row r="8" spans="1:39" ht="18.75" customHeight="1" x14ac:dyDescent="0.25">
      <c r="B8" s="6">
        <v>2</v>
      </c>
      <c r="C8" s="6">
        <v>0</v>
      </c>
      <c r="D8" s="6">
        <v>1</v>
      </c>
      <c r="E8" s="6">
        <v>4</v>
      </c>
      <c r="F8" s="6">
        <v>1</v>
      </c>
      <c r="G8" s="6">
        <v>28</v>
      </c>
      <c r="I8" s="6">
        <v>2</v>
      </c>
      <c r="J8" s="6">
        <v>0</v>
      </c>
      <c r="K8" s="6">
        <v>1</v>
      </c>
      <c r="L8" s="6">
        <v>6</v>
      </c>
      <c r="M8" s="2"/>
      <c r="O8" s="1" t="s">
        <v>162</v>
      </c>
      <c r="W8" s="1" t="s">
        <v>163</v>
      </c>
      <c r="AE8">
        <v>5</v>
      </c>
      <c r="AF8" s="40">
        <v>10</v>
      </c>
      <c r="AG8" s="40">
        <v>1</v>
      </c>
      <c r="AH8" s="40">
        <v>1</v>
      </c>
      <c r="AJ8" s="32" t="s">
        <v>346</v>
      </c>
    </row>
    <row r="9" spans="1:39" ht="18.75" customHeight="1" x14ac:dyDescent="0.25">
      <c r="B9" s="6">
        <v>3</v>
      </c>
      <c r="C9" s="6">
        <v>0</v>
      </c>
      <c r="D9" s="6">
        <v>2</v>
      </c>
      <c r="E9" s="6">
        <v>3</v>
      </c>
      <c r="F9" s="6">
        <v>1</v>
      </c>
      <c r="G9" s="6">
        <v>28</v>
      </c>
      <c r="I9" s="6">
        <v>3</v>
      </c>
      <c r="J9" s="6">
        <v>0</v>
      </c>
      <c r="K9" s="6">
        <v>2</v>
      </c>
      <c r="L9" s="6">
        <v>5</v>
      </c>
      <c r="M9" s="2"/>
      <c r="O9" s="1" t="s">
        <v>164</v>
      </c>
      <c r="P9" s="1" t="s">
        <v>165</v>
      </c>
      <c r="Q9" s="1" t="s">
        <v>166</v>
      </c>
      <c r="R9" s="1" t="s">
        <v>167</v>
      </c>
      <c r="AE9">
        <v>6</v>
      </c>
      <c r="AF9" s="40">
        <v>10</v>
      </c>
      <c r="AG9" s="40">
        <v>2</v>
      </c>
      <c r="AH9" s="40">
        <v>1</v>
      </c>
      <c r="AJ9" s="32"/>
    </row>
    <row r="10" spans="1:39" ht="18.75" customHeight="1" x14ac:dyDescent="0.25">
      <c r="B10" s="6">
        <v>4</v>
      </c>
      <c r="C10" s="6">
        <v>0</v>
      </c>
      <c r="D10" s="6">
        <v>3</v>
      </c>
      <c r="E10" s="6">
        <v>2</v>
      </c>
      <c r="F10" s="6">
        <v>1</v>
      </c>
      <c r="G10" s="6">
        <v>28</v>
      </c>
      <c r="I10" s="6">
        <v>4</v>
      </c>
      <c r="J10" s="6">
        <v>0</v>
      </c>
      <c r="K10" s="6">
        <v>3</v>
      </c>
      <c r="L10" s="6">
        <v>4</v>
      </c>
      <c r="M10" s="2"/>
      <c r="W10" s="1" t="s">
        <v>168</v>
      </c>
      <c r="AE10">
        <v>7</v>
      </c>
      <c r="AF10" s="40">
        <v>9</v>
      </c>
      <c r="AG10" s="42">
        <v>0</v>
      </c>
      <c r="AH10" s="40">
        <v>3</v>
      </c>
      <c r="AJ10" s="32"/>
      <c r="AL10" s="32" t="s">
        <v>356</v>
      </c>
    </row>
    <row r="11" spans="1:39" ht="18.75" customHeight="1" x14ac:dyDescent="0.25">
      <c r="B11" s="6">
        <v>5</v>
      </c>
      <c r="C11" s="6">
        <v>0</v>
      </c>
      <c r="D11" s="6">
        <v>4</v>
      </c>
      <c r="E11" s="6">
        <v>1</v>
      </c>
      <c r="F11" s="6">
        <v>1</v>
      </c>
      <c r="G11" s="6">
        <v>28</v>
      </c>
      <c r="I11" s="6">
        <v>5</v>
      </c>
      <c r="J11" s="6">
        <v>0</v>
      </c>
      <c r="K11" s="6">
        <v>4</v>
      </c>
      <c r="L11" s="6">
        <v>3</v>
      </c>
      <c r="M11" s="2"/>
      <c r="W11" s="1" t="s">
        <v>169</v>
      </c>
      <c r="AE11">
        <v>8</v>
      </c>
      <c r="AF11" s="40">
        <v>9</v>
      </c>
      <c r="AG11" s="40">
        <v>1</v>
      </c>
      <c r="AH11" s="40">
        <v>2</v>
      </c>
      <c r="AJ11">
        <v>1</v>
      </c>
      <c r="AK11">
        <v>11</v>
      </c>
      <c r="AL11" s="21" t="s">
        <v>347</v>
      </c>
    </row>
    <row r="12" spans="1:39" ht="18.75" customHeight="1" x14ac:dyDescent="0.25">
      <c r="B12" s="6">
        <v>6</v>
      </c>
      <c r="C12" s="6">
        <v>0</v>
      </c>
      <c r="D12" s="6">
        <v>5</v>
      </c>
      <c r="E12" s="6">
        <v>0</v>
      </c>
      <c r="F12" s="6">
        <v>1</v>
      </c>
      <c r="G12" s="6">
        <v>21</v>
      </c>
      <c r="I12" s="6">
        <v>6</v>
      </c>
      <c r="J12" s="6">
        <v>0</v>
      </c>
      <c r="K12" s="6">
        <v>5</v>
      </c>
      <c r="L12" s="6">
        <v>2</v>
      </c>
      <c r="M12" s="2"/>
      <c r="W12" s="1" t="s">
        <v>170</v>
      </c>
      <c r="AE12">
        <v>9</v>
      </c>
      <c r="AF12" s="40">
        <v>9</v>
      </c>
      <c r="AG12" s="40">
        <v>2</v>
      </c>
      <c r="AH12" s="40">
        <v>1</v>
      </c>
      <c r="AJ12">
        <v>2</v>
      </c>
      <c r="AK12">
        <v>10</v>
      </c>
      <c r="AL12" s="26" t="s">
        <v>348</v>
      </c>
    </row>
    <row r="13" spans="1:39" ht="18.75" customHeight="1" x14ac:dyDescent="0.25">
      <c r="B13" s="6">
        <v>7</v>
      </c>
      <c r="C13" s="6">
        <v>1</v>
      </c>
      <c r="D13" s="6">
        <v>0</v>
      </c>
      <c r="E13" s="6">
        <v>4</v>
      </c>
      <c r="F13" s="6">
        <v>1</v>
      </c>
      <c r="G13" s="6">
        <v>28</v>
      </c>
      <c r="I13" s="6">
        <v>7</v>
      </c>
      <c r="J13" s="6">
        <v>0</v>
      </c>
      <c r="K13" s="6">
        <v>6</v>
      </c>
      <c r="L13" s="6">
        <v>1</v>
      </c>
      <c r="M13" s="2"/>
      <c r="O13" s="1" t="s">
        <v>171</v>
      </c>
      <c r="P13" s="21" t="s">
        <v>330</v>
      </c>
      <c r="Q13" s="21" t="s">
        <v>331</v>
      </c>
      <c r="R13" s="21" t="s">
        <v>332</v>
      </c>
      <c r="W13" s="1" t="s">
        <v>172</v>
      </c>
      <c r="AE13">
        <v>10</v>
      </c>
      <c r="AF13" s="40">
        <v>9</v>
      </c>
      <c r="AG13" s="40">
        <v>3</v>
      </c>
      <c r="AH13" s="42">
        <v>0</v>
      </c>
      <c r="AJ13">
        <v>3</v>
      </c>
      <c r="AK13">
        <v>9</v>
      </c>
      <c r="AL13" s="4" t="s">
        <v>349</v>
      </c>
    </row>
    <row r="14" spans="1:39" ht="18.75" customHeight="1" x14ac:dyDescent="0.25">
      <c r="B14" s="6">
        <v>8</v>
      </c>
      <c r="C14" s="6">
        <v>1</v>
      </c>
      <c r="D14" s="6">
        <v>1</v>
      </c>
      <c r="E14" s="6">
        <v>3</v>
      </c>
      <c r="F14" s="6">
        <v>0</v>
      </c>
      <c r="G14" s="6">
        <v>36</v>
      </c>
      <c r="I14" s="6">
        <v>8</v>
      </c>
      <c r="J14" s="6">
        <v>0</v>
      </c>
      <c r="K14" s="6">
        <v>7</v>
      </c>
      <c r="L14" s="6">
        <v>0</v>
      </c>
      <c r="M14" s="2"/>
      <c r="W14" s="1" t="s">
        <v>173</v>
      </c>
      <c r="AE14">
        <v>11</v>
      </c>
      <c r="AF14" s="40">
        <v>8</v>
      </c>
      <c r="AG14" s="42">
        <v>0</v>
      </c>
      <c r="AH14" s="40">
        <v>4</v>
      </c>
      <c r="AJ14">
        <v>4</v>
      </c>
      <c r="AK14">
        <v>8</v>
      </c>
      <c r="AL14" s="21" t="s">
        <v>350</v>
      </c>
    </row>
    <row r="15" spans="1:39" ht="18.75" customHeight="1" x14ac:dyDescent="0.25">
      <c r="B15" s="6">
        <v>9</v>
      </c>
      <c r="C15" s="6">
        <v>1</v>
      </c>
      <c r="D15" s="6">
        <v>2</v>
      </c>
      <c r="E15" s="6">
        <v>2</v>
      </c>
      <c r="F15" s="6">
        <v>0</v>
      </c>
      <c r="G15" s="6">
        <v>36</v>
      </c>
      <c r="I15" s="6">
        <v>9</v>
      </c>
      <c r="J15" s="6">
        <v>1</v>
      </c>
      <c r="K15" s="6">
        <v>0</v>
      </c>
      <c r="L15" s="6">
        <v>6</v>
      </c>
      <c r="M15" s="2"/>
      <c r="AE15">
        <v>12</v>
      </c>
      <c r="AF15" s="40">
        <v>8</v>
      </c>
      <c r="AG15" s="40">
        <v>1</v>
      </c>
      <c r="AH15" s="40">
        <v>3</v>
      </c>
      <c r="AJ15">
        <v>5</v>
      </c>
      <c r="AK15">
        <v>7</v>
      </c>
      <c r="AL15" s="21" t="s">
        <v>351</v>
      </c>
    </row>
    <row r="16" spans="1:39" ht="18.75" customHeight="1" x14ac:dyDescent="0.25">
      <c r="B16" s="6">
        <v>10</v>
      </c>
      <c r="C16" s="6">
        <v>1</v>
      </c>
      <c r="D16" s="6">
        <v>3</v>
      </c>
      <c r="E16" s="6">
        <v>1</v>
      </c>
      <c r="F16" s="6">
        <v>0</v>
      </c>
      <c r="G16" s="6">
        <v>36</v>
      </c>
      <c r="I16" s="6">
        <v>10</v>
      </c>
      <c r="J16" s="6">
        <v>1</v>
      </c>
      <c r="K16" s="6">
        <v>1</v>
      </c>
      <c r="L16" s="6">
        <v>5</v>
      </c>
      <c r="M16" s="2"/>
      <c r="O16" s="1" t="s">
        <v>174</v>
      </c>
      <c r="W16" s="1" t="s">
        <v>175</v>
      </c>
      <c r="AE16">
        <v>13</v>
      </c>
      <c r="AF16" s="40">
        <v>8</v>
      </c>
      <c r="AG16" s="40">
        <v>2</v>
      </c>
      <c r="AH16" s="40">
        <v>2</v>
      </c>
      <c r="AJ16">
        <v>6</v>
      </c>
      <c r="AK16">
        <v>6</v>
      </c>
      <c r="AL16" s="21" t="s">
        <v>351</v>
      </c>
      <c r="AM16" s="32" t="s">
        <v>357</v>
      </c>
    </row>
    <row r="17" spans="2:41" ht="18.75" customHeight="1" x14ac:dyDescent="0.25">
      <c r="B17" s="6">
        <v>11</v>
      </c>
      <c r="C17" s="6">
        <v>1</v>
      </c>
      <c r="D17" s="6">
        <v>4</v>
      </c>
      <c r="E17" s="6">
        <v>0</v>
      </c>
      <c r="F17" s="6">
        <v>1</v>
      </c>
      <c r="G17" s="6">
        <v>28</v>
      </c>
      <c r="I17" s="6">
        <v>11</v>
      </c>
      <c r="J17" s="6">
        <v>1</v>
      </c>
      <c r="K17" s="6">
        <v>2</v>
      </c>
      <c r="L17" s="6">
        <v>4</v>
      </c>
      <c r="M17" s="2"/>
      <c r="O17" s="1" t="s">
        <v>176</v>
      </c>
      <c r="W17" s="1" t="s">
        <v>177</v>
      </c>
      <c r="AE17">
        <v>14</v>
      </c>
      <c r="AF17" s="40">
        <v>8</v>
      </c>
      <c r="AG17" s="40">
        <v>3</v>
      </c>
      <c r="AH17" s="40">
        <v>1</v>
      </c>
      <c r="AJ17">
        <v>7</v>
      </c>
      <c r="AK17">
        <v>5</v>
      </c>
      <c r="AL17" s="21" t="s">
        <v>351</v>
      </c>
    </row>
    <row r="18" spans="2:41" ht="18.75" customHeight="1" x14ac:dyDescent="0.25">
      <c r="B18" s="6">
        <v>12</v>
      </c>
      <c r="C18" s="6">
        <v>2</v>
      </c>
      <c r="D18" s="6">
        <v>0</v>
      </c>
      <c r="E18" s="6">
        <v>3</v>
      </c>
      <c r="F18" s="6">
        <v>1</v>
      </c>
      <c r="G18" s="6">
        <v>28</v>
      </c>
      <c r="I18" s="6">
        <v>12</v>
      </c>
      <c r="J18" s="6">
        <v>1</v>
      </c>
      <c r="K18" s="6">
        <v>3</v>
      </c>
      <c r="L18" s="6">
        <v>3</v>
      </c>
      <c r="M18" s="2"/>
      <c r="W18" s="1" t="s">
        <v>178</v>
      </c>
      <c r="AE18">
        <v>15</v>
      </c>
      <c r="AF18" s="40">
        <v>8</v>
      </c>
      <c r="AG18" s="40">
        <v>4</v>
      </c>
      <c r="AH18" s="42">
        <v>0</v>
      </c>
      <c r="AJ18">
        <v>8</v>
      </c>
      <c r="AK18">
        <v>4</v>
      </c>
      <c r="AL18" s="21" t="s">
        <v>350</v>
      </c>
    </row>
    <row r="19" spans="2:41" ht="18.75" customHeight="1" x14ac:dyDescent="0.25">
      <c r="B19" s="6">
        <v>13</v>
      </c>
      <c r="C19" s="6">
        <v>2</v>
      </c>
      <c r="D19" s="6">
        <v>1</v>
      </c>
      <c r="E19" s="6">
        <v>2</v>
      </c>
      <c r="F19" s="6">
        <v>0</v>
      </c>
      <c r="G19" s="6">
        <v>36</v>
      </c>
      <c r="I19" s="6">
        <v>13</v>
      </c>
      <c r="J19" s="6">
        <v>1</v>
      </c>
      <c r="K19" s="6">
        <v>4</v>
      </c>
      <c r="L19" s="6">
        <v>2</v>
      </c>
      <c r="M19" s="2"/>
      <c r="W19" s="1" t="s">
        <v>179</v>
      </c>
      <c r="AE19">
        <v>16</v>
      </c>
      <c r="AF19" s="40">
        <v>7</v>
      </c>
      <c r="AG19" s="42">
        <v>0</v>
      </c>
      <c r="AH19" s="40">
        <v>5</v>
      </c>
      <c r="AJ19">
        <v>9</v>
      </c>
      <c r="AK19">
        <v>3</v>
      </c>
      <c r="AL19" s="4" t="s">
        <v>349</v>
      </c>
    </row>
    <row r="20" spans="2:41" ht="18.75" customHeight="1" x14ac:dyDescent="0.25">
      <c r="B20" s="6">
        <v>14</v>
      </c>
      <c r="C20" s="6">
        <v>2</v>
      </c>
      <c r="D20" s="6">
        <v>2</v>
      </c>
      <c r="E20" s="6">
        <v>1</v>
      </c>
      <c r="F20" s="6">
        <v>0</v>
      </c>
      <c r="G20" s="6">
        <v>36</v>
      </c>
      <c r="I20" s="6">
        <v>14</v>
      </c>
      <c r="J20" s="6">
        <v>1</v>
      </c>
      <c r="K20" s="6">
        <v>5</v>
      </c>
      <c r="L20" s="6">
        <v>1</v>
      </c>
      <c r="M20" s="2"/>
      <c r="AE20">
        <v>17</v>
      </c>
      <c r="AF20" s="40">
        <v>7</v>
      </c>
      <c r="AG20" s="40">
        <v>1</v>
      </c>
      <c r="AH20" s="40">
        <v>4</v>
      </c>
      <c r="AJ20">
        <v>10</v>
      </c>
      <c r="AK20">
        <v>2</v>
      </c>
      <c r="AL20" s="26" t="s">
        <v>348</v>
      </c>
    </row>
    <row r="21" spans="2:41" ht="18.75" customHeight="1" x14ac:dyDescent="0.25">
      <c r="B21" s="6">
        <v>15</v>
      </c>
      <c r="C21" s="6">
        <v>2</v>
      </c>
      <c r="D21" s="6">
        <v>3</v>
      </c>
      <c r="E21" s="6">
        <v>0</v>
      </c>
      <c r="F21" s="6">
        <v>1</v>
      </c>
      <c r="G21" s="6">
        <v>28</v>
      </c>
      <c r="I21" s="6">
        <v>15</v>
      </c>
      <c r="J21" s="6">
        <v>1</v>
      </c>
      <c r="K21" s="6">
        <v>6</v>
      </c>
      <c r="L21" s="6">
        <v>0</v>
      </c>
      <c r="M21" s="2"/>
      <c r="O21" s="1" t="s">
        <v>180</v>
      </c>
      <c r="W21" s="1" t="s">
        <v>181</v>
      </c>
      <c r="AE21">
        <v>18</v>
      </c>
      <c r="AF21" s="40">
        <v>7</v>
      </c>
      <c r="AG21" s="40">
        <v>2</v>
      </c>
      <c r="AH21" s="40">
        <v>3</v>
      </c>
      <c r="AJ21">
        <v>11</v>
      </c>
      <c r="AK21">
        <v>1</v>
      </c>
      <c r="AL21" s="21" t="s">
        <v>347</v>
      </c>
    </row>
    <row r="22" spans="2:41" ht="18.75" customHeight="1" x14ac:dyDescent="0.25">
      <c r="B22" s="6">
        <v>16</v>
      </c>
      <c r="C22" s="6">
        <v>3</v>
      </c>
      <c r="D22" s="6">
        <v>0</v>
      </c>
      <c r="E22" s="6">
        <v>2</v>
      </c>
      <c r="F22" s="6">
        <v>1</v>
      </c>
      <c r="G22" s="6">
        <v>28</v>
      </c>
      <c r="I22" s="6">
        <v>16</v>
      </c>
      <c r="J22" s="6">
        <v>2</v>
      </c>
      <c r="K22" s="6">
        <v>0</v>
      </c>
      <c r="L22" s="6">
        <v>5</v>
      </c>
      <c r="M22" s="2"/>
      <c r="O22" s="1" t="s">
        <v>182</v>
      </c>
      <c r="W22" s="1" t="s">
        <v>183</v>
      </c>
      <c r="AE22">
        <v>19</v>
      </c>
      <c r="AF22" s="41">
        <v>7</v>
      </c>
      <c r="AG22" s="41">
        <v>3</v>
      </c>
      <c r="AH22" s="41">
        <v>2</v>
      </c>
      <c r="AK22" s="21" t="s">
        <v>352</v>
      </c>
      <c r="AL22" s="21" t="s">
        <v>353</v>
      </c>
    </row>
    <row r="23" spans="2:41" ht="18.75" customHeight="1" x14ac:dyDescent="0.25">
      <c r="B23" s="6">
        <v>17</v>
      </c>
      <c r="C23" s="6">
        <v>3</v>
      </c>
      <c r="D23" s="6">
        <v>1</v>
      </c>
      <c r="E23" s="6">
        <v>1</v>
      </c>
      <c r="F23" s="6">
        <v>0</v>
      </c>
      <c r="G23" s="6">
        <v>36</v>
      </c>
      <c r="I23" s="6">
        <v>17</v>
      </c>
      <c r="J23" s="6">
        <v>2</v>
      </c>
      <c r="K23" s="6">
        <v>1</v>
      </c>
      <c r="L23" s="6">
        <v>4</v>
      </c>
      <c r="M23" s="2"/>
      <c r="AE23">
        <v>20</v>
      </c>
      <c r="AF23" s="41">
        <v>7</v>
      </c>
      <c r="AG23" s="41">
        <v>4</v>
      </c>
      <c r="AH23" s="41">
        <v>1</v>
      </c>
    </row>
    <row r="24" spans="2:41" ht="18.75" customHeight="1" x14ac:dyDescent="0.25">
      <c r="B24" s="6">
        <v>18</v>
      </c>
      <c r="C24" s="6">
        <v>3</v>
      </c>
      <c r="D24" s="6">
        <v>2</v>
      </c>
      <c r="E24" s="6">
        <v>0</v>
      </c>
      <c r="F24" s="6">
        <v>1</v>
      </c>
      <c r="G24" s="6">
        <v>28</v>
      </c>
      <c r="I24" s="6">
        <v>18</v>
      </c>
      <c r="J24" s="6">
        <v>2</v>
      </c>
      <c r="K24" s="6">
        <v>2</v>
      </c>
      <c r="L24" s="6">
        <v>3</v>
      </c>
      <c r="M24" s="2"/>
      <c r="O24" s="1" t="s">
        <v>184</v>
      </c>
      <c r="W24" s="32" t="s">
        <v>335</v>
      </c>
      <c r="AE24">
        <v>21</v>
      </c>
      <c r="AF24" s="41">
        <v>7</v>
      </c>
      <c r="AG24" s="41">
        <v>5</v>
      </c>
      <c r="AH24" s="43">
        <v>0</v>
      </c>
      <c r="AJ24" s="22" t="s">
        <v>354</v>
      </c>
      <c r="AL24" s="21" t="s">
        <v>355</v>
      </c>
    </row>
    <row r="25" spans="2:41" ht="18.75" customHeight="1" x14ac:dyDescent="0.25">
      <c r="B25" s="6">
        <v>19</v>
      </c>
      <c r="C25" s="6">
        <v>4</v>
      </c>
      <c r="D25" s="6">
        <v>0</v>
      </c>
      <c r="E25" s="6">
        <v>1</v>
      </c>
      <c r="F25" s="6">
        <v>1</v>
      </c>
      <c r="G25" s="6">
        <v>28</v>
      </c>
      <c r="I25" s="6">
        <v>19</v>
      </c>
      <c r="J25" s="6">
        <v>2</v>
      </c>
      <c r="K25" s="6">
        <v>3</v>
      </c>
      <c r="L25" s="6">
        <v>2</v>
      </c>
      <c r="M25" s="2"/>
      <c r="O25" s="1" t="s">
        <v>185</v>
      </c>
      <c r="AE25">
        <v>22</v>
      </c>
      <c r="AF25" s="41">
        <v>6</v>
      </c>
      <c r="AG25" s="43">
        <v>0</v>
      </c>
      <c r="AH25" s="41">
        <v>6</v>
      </c>
    </row>
    <row r="26" spans="2:41" ht="18.75" customHeight="1" x14ac:dyDescent="0.25">
      <c r="B26" s="6">
        <v>20</v>
      </c>
      <c r="C26" s="6">
        <v>4</v>
      </c>
      <c r="D26" s="6">
        <v>1</v>
      </c>
      <c r="E26" s="6">
        <v>0</v>
      </c>
      <c r="F26" s="6">
        <v>1</v>
      </c>
      <c r="G26" s="6">
        <v>28</v>
      </c>
      <c r="I26" s="6">
        <v>20</v>
      </c>
      <c r="J26" s="6">
        <v>2</v>
      </c>
      <c r="K26" s="6">
        <v>4</v>
      </c>
      <c r="L26" s="6">
        <v>1</v>
      </c>
      <c r="M26" s="2"/>
      <c r="O26" s="1" t="s">
        <v>186</v>
      </c>
      <c r="AE26">
        <v>23</v>
      </c>
      <c r="AF26" s="41">
        <v>6</v>
      </c>
      <c r="AG26" s="41">
        <v>1</v>
      </c>
      <c r="AH26" s="41">
        <v>5</v>
      </c>
    </row>
    <row r="27" spans="2:41" ht="18.75" customHeight="1" x14ac:dyDescent="0.25">
      <c r="B27" s="6">
        <v>21</v>
      </c>
      <c r="C27" s="6">
        <v>5</v>
      </c>
      <c r="D27" s="6">
        <v>0</v>
      </c>
      <c r="E27" s="6">
        <v>0</v>
      </c>
      <c r="F27" s="6">
        <v>2</v>
      </c>
      <c r="G27" s="6">
        <v>21</v>
      </c>
      <c r="I27" s="6">
        <v>21</v>
      </c>
      <c r="J27" s="6">
        <v>2</v>
      </c>
      <c r="K27" s="6">
        <v>5</v>
      </c>
      <c r="L27" s="6">
        <v>0</v>
      </c>
      <c r="M27" s="2"/>
      <c r="AE27">
        <v>24</v>
      </c>
      <c r="AF27" s="41">
        <v>6</v>
      </c>
      <c r="AG27" s="41">
        <v>2</v>
      </c>
      <c r="AH27" s="41">
        <v>4</v>
      </c>
    </row>
    <row r="28" spans="2:41" ht="18.75" customHeight="1" x14ac:dyDescent="0.25">
      <c r="F28" s="6" t="s">
        <v>17</v>
      </c>
      <c r="G28" s="6">
        <f>SUM(G7:G27)</f>
        <v>615</v>
      </c>
      <c r="I28" s="6">
        <v>22</v>
      </c>
      <c r="J28" s="6">
        <v>3</v>
      </c>
      <c r="K28" s="6">
        <v>0</v>
      </c>
      <c r="L28" s="6">
        <v>4</v>
      </c>
      <c r="M28" s="2"/>
      <c r="AE28">
        <v>25</v>
      </c>
      <c r="AF28" s="41">
        <v>6</v>
      </c>
      <c r="AG28" s="41">
        <v>3</v>
      </c>
      <c r="AH28" s="41">
        <v>3</v>
      </c>
    </row>
    <row r="29" spans="2:41" ht="18.75" customHeight="1" x14ac:dyDescent="0.25">
      <c r="I29" s="6">
        <v>23</v>
      </c>
      <c r="J29" s="6">
        <v>3</v>
      </c>
      <c r="K29" s="6">
        <v>1</v>
      </c>
      <c r="L29" s="6">
        <v>3</v>
      </c>
      <c r="M29" s="2"/>
      <c r="O29" s="1" t="s">
        <v>187</v>
      </c>
      <c r="AE29">
        <v>26</v>
      </c>
      <c r="AF29" s="41">
        <v>6</v>
      </c>
      <c r="AG29" s="41">
        <v>4</v>
      </c>
      <c r="AH29" s="41">
        <v>2</v>
      </c>
    </row>
    <row r="30" spans="2:41" ht="18.75" customHeight="1" x14ac:dyDescent="0.25">
      <c r="I30" s="6">
        <v>24</v>
      </c>
      <c r="J30" s="6">
        <v>3</v>
      </c>
      <c r="K30" s="6">
        <v>2</v>
      </c>
      <c r="L30" s="6">
        <v>2</v>
      </c>
      <c r="M30" s="2"/>
      <c r="O30" s="1" t="s">
        <v>188</v>
      </c>
      <c r="AE30">
        <v>27</v>
      </c>
      <c r="AF30" s="41">
        <v>6</v>
      </c>
      <c r="AG30" s="41">
        <v>5</v>
      </c>
      <c r="AH30" s="41">
        <v>1</v>
      </c>
      <c r="AJ30" s="32"/>
      <c r="AK30" s="32"/>
      <c r="AL30" s="32"/>
      <c r="AM30" s="32"/>
      <c r="AN30" s="32"/>
      <c r="AO30" s="32"/>
    </row>
    <row r="31" spans="2:41" ht="18.75" customHeight="1" x14ac:dyDescent="0.25">
      <c r="I31" s="6">
        <v>25</v>
      </c>
      <c r="J31" s="6">
        <v>3</v>
      </c>
      <c r="K31" s="6">
        <v>3</v>
      </c>
      <c r="L31" s="6">
        <v>1</v>
      </c>
      <c r="M31" s="2"/>
      <c r="AE31">
        <v>28</v>
      </c>
      <c r="AF31" s="41">
        <v>6</v>
      </c>
      <c r="AG31" s="41">
        <v>6</v>
      </c>
      <c r="AH31" s="43">
        <v>0</v>
      </c>
      <c r="AJ31" s="32"/>
      <c r="AK31" s="32"/>
      <c r="AL31" s="32"/>
      <c r="AM31" s="32"/>
      <c r="AN31" s="32"/>
      <c r="AO31" s="32"/>
    </row>
    <row r="32" spans="2:41" ht="18.75" customHeight="1" x14ac:dyDescent="0.25">
      <c r="I32" s="6">
        <v>26</v>
      </c>
      <c r="J32" s="6">
        <v>3</v>
      </c>
      <c r="K32" s="6">
        <v>4</v>
      </c>
      <c r="L32" s="6">
        <v>0</v>
      </c>
      <c r="M32" s="2"/>
      <c r="O32" s="1" t="s">
        <v>189</v>
      </c>
      <c r="AE32">
        <v>29</v>
      </c>
      <c r="AF32" s="41">
        <v>5</v>
      </c>
      <c r="AG32" s="43">
        <v>0</v>
      </c>
      <c r="AH32" s="41">
        <v>7</v>
      </c>
      <c r="AJ32" s="32"/>
      <c r="AK32" s="32"/>
      <c r="AL32" s="32"/>
      <c r="AM32" s="32"/>
      <c r="AN32" s="32"/>
      <c r="AO32" s="32"/>
    </row>
    <row r="33" spans="9:41" ht="18.75" customHeight="1" x14ac:dyDescent="0.25">
      <c r="I33" s="6">
        <v>27</v>
      </c>
      <c r="J33" s="6">
        <v>4</v>
      </c>
      <c r="K33" s="6">
        <v>0</v>
      </c>
      <c r="L33" s="6">
        <v>3</v>
      </c>
      <c r="M33" s="2"/>
      <c r="O33" s="1" t="s">
        <v>186</v>
      </c>
      <c r="U33" s="1"/>
      <c r="AE33">
        <v>30</v>
      </c>
      <c r="AF33" s="41">
        <v>5</v>
      </c>
      <c r="AG33" s="41">
        <v>1</v>
      </c>
      <c r="AH33" s="41">
        <v>6</v>
      </c>
      <c r="AJ33" s="32"/>
      <c r="AK33" s="32"/>
      <c r="AL33" s="32"/>
      <c r="AM33" s="32"/>
      <c r="AN33" s="32"/>
      <c r="AO33" s="32"/>
    </row>
    <row r="34" spans="9:41" ht="18.75" customHeight="1" x14ac:dyDescent="0.25">
      <c r="I34" s="6">
        <v>28</v>
      </c>
      <c r="J34" s="6">
        <v>4</v>
      </c>
      <c r="K34" s="6">
        <v>1</v>
      </c>
      <c r="L34" s="6">
        <v>2</v>
      </c>
      <c r="M34" s="2"/>
      <c r="O34" s="1" t="s">
        <v>190</v>
      </c>
      <c r="T34" s="1" t="s">
        <v>191</v>
      </c>
      <c r="AE34">
        <v>31</v>
      </c>
      <c r="AF34" s="41">
        <v>5</v>
      </c>
      <c r="AG34" s="41">
        <v>2</v>
      </c>
      <c r="AH34" s="41">
        <v>5</v>
      </c>
      <c r="AJ34" s="32"/>
      <c r="AK34" s="32"/>
      <c r="AL34" s="32"/>
      <c r="AM34" s="32"/>
      <c r="AN34" s="32"/>
      <c r="AO34" s="32"/>
    </row>
    <row r="35" spans="9:41" ht="18.75" customHeight="1" x14ac:dyDescent="0.25">
      <c r="I35" s="6">
        <v>29</v>
      </c>
      <c r="J35" s="6">
        <v>4</v>
      </c>
      <c r="K35" s="6">
        <v>2</v>
      </c>
      <c r="L35" s="6">
        <v>1</v>
      </c>
      <c r="M35" s="2"/>
      <c r="AE35">
        <v>32</v>
      </c>
      <c r="AF35" s="41">
        <v>5</v>
      </c>
      <c r="AG35" s="41">
        <v>3</v>
      </c>
      <c r="AH35" s="41">
        <v>4</v>
      </c>
      <c r="AJ35" s="32"/>
      <c r="AK35" s="32"/>
      <c r="AL35" s="32"/>
      <c r="AM35" s="32"/>
      <c r="AN35" s="32"/>
      <c r="AO35" s="32"/>
    </row>
    <row r="36" spans="9:41" ht="18.75" customHeight="1" x14ac:dyDescent="0.25">
      <c r="I36" s="6">
        <v>30</v>
      </c>
      <c r="J36" s="6">
        <v>4</v>
      </c>
      <c r="K36" s="6">
        <v>3</v>
      </c>
      <c r="L36" s="6">
        <v>0</v>
      </c>
      <c r="M36" s="2"/>
      <c r="O36" s="21" t="s">
        <v>333</v>
      </c>
      <c r="AE36">
        <v>33</v>
      </c>
      <c r="AF36" s="41">
        <v>5</v>
      </c>
      <c r="AG36" s="41">
        <v>4</v>
      </c>
      <c r="AH36" s="41">
        <v>3</v>
      </c>
    </row>
    <row r="37" spans="9:41" ht="18.75" customHeight="1" x14ac:dyDescent="0.25">
      <c r="I37" s="6">
        <v>31</v>
      </c>
      <c r="J37" s="6">
        <v>5</v>
      </c>
      <c r="K37" s="6">
        <v>0</v>
      </c>
      <c r="L37" s="6">
        <v>2</v>
      </c>
      <c r="M37" s="2"/>
      <c r="O37" s="1" t="s">
        <v>186</v>
      </c>
      <c r="U37" s="1"/>
      <c r="AE37">
        <v>34</v>
      </c>
      <c r="AF37" s="41">
        <v>5</v>
      </c>
      <c r="AG37" s="41">
        <v>5</v>
      </c>
      <c r="AH37" s="41">
        <v>2</v>
      </c>
    </row>
    <row r="38" spans="9:41" ht="18.75" customHeight="1" x14ac:dyDescent="0.25">
      <c r="I38" s="6">
        <v>32</v>
      </c>
      <c r="J38" s="6">
        <v>5</v>
      </c>
      <c r="K38" s="6">
        <v>1</v>
      </c>
      <c r="L38" s="6">
        <v>1</v>
      </c>
      <c r="M38" s="2"/>
      <c r="O38" s="1" t="s">
        <v>192</v>
      </c>
      <c r="T38" s="1" t="s">
        <v>193</v>
      </c>
      <c r="AE38">
        <v>35</v>
      </c>
      <c r="AF38" s="41">
        <v>5</v>
      </c>
      <c r="AG38" s="41">
        <v>6</v>
      </c>
      <c r="AH38" s="41">
        <v>1</v>
      </c>
    </row>
    <row r="39" spans="9:41" ht="18.75" customHeight="1" x14ac:dyDescent="0.25">
      <c r="I39" s="6">
        <v>33</v>
      </c>
      <c r="J39" s="6">
        <v>5</v>
      </c>
      <c r="K39" s="6">
        <v>2</v>
      </c>
      <c r="L39" s="6">
        <v>0</v>
      </c>
      <c r="M39" s="2"/>
      <c r="AE39">
        <v>36</v>
      </c>
      <c r="AF39" s="41">
        <v>5</v>
      </c>
      <c r="AG39" s="41">
        <v>7</v>
      </c>
      <c r="AH39" s="43">
        <v>0</v>
      </c>
    </row>
    <row r="40" spans="9:41" ht="18.75" customHeight="1" x14ac:dyDescent="0.25">
      <c r="I40" s="6">
        <v>34</v>
      </c>
      <c r="J40" s="6">
        <v>6</v>
      </c>
      <c r="K40" s="6">
        <v>0</v>
      </c>
      <c r="L40" s="6">
        <v>1</v>
      </c>
      <c r="M40" s="2"/>
      <c r="O40" s="21" t="s">
        <v>334</v>
      </c>
      <c r="AE40">
        <v>37</v>
      </c>
      <c r="AF40" s="41">
        <v>4</v>
      </c>
      <c r="AG40" s="43">
        <v>0</v>
      </c>
      <c r="AH40" s="41">
        <v>8</v>
      </c>
    </row>
    <row r="41" spans="9:41" ht="18.75" customHeight="1" x14ac:dyDescent="0.25">
      <c r="I41" s="6">
        <v>35</v>
      </c>
      <c r="J41" s="6">
        <v>6</v>
      </c>
      <c r="K41" s="6">
        <v>1</v>
      </c>
      <c r="L41" s="6">
        <v>6</v>
      </c>
      <c r="M41" s="2"/>
      <c r="O41" s="1" t="s">
        <v>194</v>
      </c>
      <c r="AE41">
        <v>38</v>
      </c>
      <c r="AF41" s="41">
        <v>4</v>
      </c>
      <c r="AG41" s="41">
        <v>1</v>
      </c>
      <c r="AH41" s="41">
        <v>7</v>
      </c>
    </row>
    <row r="42" spans="9:41" ht="18.75" customHeight="1" x14ac:dyDescent="0.25">
      <c r="I42" s="6">
        <v>36</v>
      </c>
      <c r="J42" s="6">
        <v>7</v>
      </c>
      <c r="K42" s="6">
        <v>0</v>
      </c>
      <c r="L42" s="6">
        <v>0</v>
      </c>
      <c r="M42" s="2"/>
      <c r="O42" s="1" t="s">
        <v>195</v>
      </c>
      <c r="AE42">
        <v>39</v>
      </c>
      <c r="AF42" s="41">
        <v>4</v>
      </c>
      <c r="AG42" s="41">
        <v>2</v>
      </c>
      <c r="AH42" s="41">
        <v>6</v>
      </c>
    </row>
    <row r="43" spans="9:41" ht="18.75" customHeight="1" x14ac:dyDescent="0.25">
      <c r="O43" s="1" t="s">
        <v>196</v>
      </c>
      <c r="AE43">
        <v>40</v>
      </c>
      <c r="AF43" s="41">
        <v>4</v>
      </c>
      <c r="AG43" s="41">
        <v>3</v>
      </c>
      <c r="AH43" s="41">
        <v>5</v>
      </c>
    </row>
    <row r="44" spans="9:41" ht="18.75" customHeight="1" x14ac:dyDescent="0.25">
      <c r="AE44">
        <v>41</v>
      </c>
      <c r="AF44" s="41">
        <v>4</v>
      </c>
      <c r="AG44" s="41">
        <v>4</v>
      </c>
      <c r="AH44" s="41">
        <v>4</v>
      </c>
    </row>
    <row r="45" spans="9:41" ht="18.75" customHeight="1" x14ac:dyDescent="0.25">
      <c r="AE45">
        <v>42</v>
      </c>
      <c r="AF45" s="41">
        <v>4</v>
      </c>
      <c r="AG45" s="41">
        <v>5</v>
      </c>
      <c r="AH45" s="41">
        <v>3</v>
      </c>
    </row>
    <row r="46" spans="9:41" ht="18.75" customHeight="1" x14ac:dyDescent="0.25">
      <c r="AE46">
        <v>43</v>
      </c>
      <c r="AF46" s="41">
        <v>4</v>
      </c>
      <c r="AG46" s="41">
        <v>6</v>
      </c>
      <c r="AH46" s="41">
        <v>2</v>
      </c>
    </row>
    <row r="47" spans="9:41" ht="18.75" customHeight="1" x14ac:dyDescent="0.25">
      <c r="AE47">
        <v>44</v>
      </c>
      <c r="AF47" s="41">
        <v>4</v>
      </c>
      <c r="AG47" s="41">
        <v>7</v>
      </c>
      <c r="AH47" s="41">
        <v>1</v>
      </c>
    </row>
    <row r="48" spans="9:41" ht="18.75" customHeight="1" x14ac:dyDescent="0.25">
      <c r="AE48">
        <v>45</v>
      </c>
      <c r="AF48" s="41">
        <v>4</v>
      </c>
      <c r="AG48" s="41">
        <v>8</v>
      </c>
      <c r="AH48" s="43">
        <v>0</v>
      </c>
    </row>
    <row r="49" spans="31:34" ht="18.75" customHeight="1" x14ac:dyDescent="0.25">
      <c r="AE49">
        <v>46</v>
      </c>
      <c r="AF49" s="41">
        <v>3</v>
      </c>
      <c r="AG49" s="43">
        <v>0</v>
      </c>
      <c r="AH49" s="41">
        <v>9</v>
      </c>
    </row>
    <row r="50" spans="31:34" ht="18.75" customHeight="1" x14ac:dyDescent="0.25">
      <c r="AE50">
        <v>47</v>
      </c>
      <c r="AF50" s="41">
        <v>3</v>
      </c>
      <c r="AG50" s="41">
        <v>1</v>
      </c>
      <c r="AH50" s="41">
        <v>8</v>
      </c>
    </row>
    <row r="51" spans="31:34" ht="18.75" customHeight="1" x14ac:dyDescent="0.25">
      <c r="AE51">
        <v>48</v>
      </c>
      <c r="AF51" s="41">
        <v>3</v>
      </c>
      <c r="AG51" s="41">
        <v>2</v>
      </c>
      <c r="AH51" s="41">
        <v>7</v>
      </c>
    </row>
    <row r="52" spans="31:34" ht="18.75" customHeight="1" x14ac:dyDescent="0.25">
      <c r="AE52">
        <v>49</v>
      </c>
      <c r="AF52" s="41">
        <v>3</v>
      </c>
      <c r="AG52" s="41">
        <v>3</v>
      </c>
      <c r="AH52" s="41">
        <v>6</v>
      </c>
    </row>
    <row r="53" spans="31:34" ht="18.75" customHeight="1" x14ac:dyDescent="0.25">
      <c r="AE53">
        <v>50</v>
      </c>
      <c r="AF53" s="41">
        <v>3</v>
      </c>
      <c r="AG53" s="41">
        <v>4</v>
      </c>
      <c r="AH53" s="41">
        <v>5</v>
      </c>
    </row>
    <row r="54" spans="31:34" ht="18.75" customHeight="1" x14ac:dyDescent="0.25">
      <c r="AE54">
        <v>51</v>
      </c>
      <c r="AF54" s="41">
        <v>3</v>
      </c>
      <c r="AG54" s="41">
        <v>5</v>
      </c>
      <c r="AH54" s="41">
        <v>4</v>
      </c>
    </row>
    <row r="55" spans="31:34" ht="18.75" customHeight="1" x14ac:dyDescent="0.25">
      <c r="AE55">
        <v>52</v>
      </c>
      <c r="AF55" s="41">
        <v>3</v>
      </c>
      <c r="AG55" s="41">
        <v>6</v>
      </c>
      <c r="AH55" s="41">
        <v>3</v>
      </c>
    </row>
    <row r="56" spans="31:34" ht="18.75" customHeight="1" x14ac:dyDescent="0.25">
      <c r="AE56">
        <v>53</v>
      </c>
      <c r="AF56" s="41">
        <v>3</v>
      </c>
      <c r="AG56" s="41">
        <v>7</v>
      </c>
      <c r="AH56" s="41">
        <v>2</v>
      </c>
    </row>
    <row r="57" spans="31:34" ht="18.75" customHeight="1" x14ac:dyDescent="0.25">
      <c r="AE57">
        <v>54</v>
      </c>
      <c r="AF57" s="41">
        <v>3</v>
      </c>
      <c r="AG57" s="41">
        <v>8</v>
      </c>
      <c r="AH57" s="41">
        <v>1</v>
      </c>
    </row>
    <row r="58" spans="31:34" ht="18.75" customHeight="1" x14ac:dyDescent="0.25">
      <c r="AE58">
        <v>55</v>
      </c>
      <c r="AF58" s="41">
        <v>3</v>
      </c>
      <c r="AG58" s="41">
        <v>9</v>
      </c>
      <c r="AH58" s="43">
        <v>0</v>
      </c>
    </row>
    <row r="59" spans="31:34" ht="18.75" customHeight="1" x14ac:dyDescent="0.25">
      <c r="AE59">
        <v>56</v>
      </c>
      <c r="AF59" s="41">
        <v>2</v>
      </c>
      <c r="AG59" s="43">
        <v>0</v>
      </c>
      <c r="AH59" s="41">
        <v>10</v>
      </c>
    </row>
    <row r="60" spans="31:34" ht="18.75" customHeight="1" x14ac:dyDescent="0.25">
      <c r="AE60">
        <v>57</v>
      </c>
      <c r="AF60" s="41">
        <v>2</v>
      </c>
      <c r="AG60" s="41">
        <v>1</v>
      </c>
      <c r="AH60" s="41">
        <v>9</v>
      </c>
    </row>
    <row r="61" spans="31:34" ht="18.75" customHeight="1" x14ac:dyDescent="0.25">
      <c r="AE61">
        <v>58</v>
      </c>
      <c r="AF61" s="41">
        <v>2</v>
      </c>
      <c r="AG61" s="41">
        <v>2</v>
      </c>
      <c r="AH61" s="41">
        <v>8</v>
      </c>
    </row>
    <row r="62" spans="31:34" ht="18.75" customHeight="1" x14ac:dyDescent="0.25">
      <c r="AE62">
        <v>59</v>
      </c>
      <c r="AF62" s="41">
        <v>2</v>
      </c>
      <c r="AG62" s="41">
        <v>3</v>
      </c>
      <c r="AH62" s="41">
        <v>7</v>
      </c>
    </row>
    <row r="63" spans="31:34" ht="18.75" customHeight="1" x14ac:dyDescent="0.25">
      <c r="AE63">
        <v>60</v>
      </c>
      <c r="AF63" s="41">
        <v>2</v>
      </c>
      <c r="AG63" s="41">
        <v>4</v>
      </c>
      <c r="AH63" s="41">
        <v>6</v>
      </c>
    </row>
    <row r="64" spans="31:34" ht="18.75" customHeight="1" x14ac:dyDescent="0.25">
      <c r="AE64">
        <v>61</v>
      </c>
      <c r="AF64" s="41">
        <v>2</v>
      </c>
      <c r="AG64" s="41">
        <v>5</v>
      </c>
      <c r="AH64" s="41">
        <v>5</v>
      </c>
    </row>
    <row r="65" spans="31:34" ht="18.75" customHeight="1" x14ac:dyDescent="0.25">
      <c r="AE65">
        <v>62</v>
      </c>
      <c r="AF65" s="41">
        <v>2</v>
      </c>
      <c r="AG65" s="41">
        <v>6</v>
      </c>
      <c r="AH65" s="41">
        <v>4</v>
      </c>
    </row>
    <row r="66" spans="31:34" ht="18.75" customHeight="1" x14ac:dyDescent="0.25">
      <c r="AE66">
        <v>63</v>
      </c>
      <c r="AF66" s="41">
        <v>2</v>
      </c>
      <c r="AG66" s="41">
        <v>7</v>
      </c>
      <c r="AH66" s="41">
        <v>3</v>
      </c>
    </row>
    <row r="67" spans="31:34" ht="18.75" customHeight="1" x14ac:dyDescent="0.25">
      <c r="AE67">
        <v>64</v>
      </c>
      <c r="AF67" s="41">
        <v>2</v>
      </c>
      <c r="AG67" s="41">
        <v>8</v>
      </c>
      <c r="AH67" s="41">
        <v>2</v>
      </c>
    </row>
    <row r="68" spans="31:34" ht="18.75" customHeight="1" x14ac:dyDescent="0.25">
      <c r="AE68">
        <v>65</v>
      </c>
      <c r="AF68" s="41">
        <v>2</v>
      </c>
      <c r="AG68" s="41">
        <v>9</v>
      </c>
      <c r="AH68" s="41">
        <v>1</v>
      </c>
    </row>
    <row r="69" spans="31:34" ht="18.75" customHeight="1" x14ac:dyDescent="0.25">
      <c r="AE69">
        <v>66</v>
      </c>
      <c r="AF69" s="41">
        <v>2</v>
      </c>
      <c r="AG69" s="41">
        <v>10</v>
      </c>
      <c r="AH69" s="43">
        <v>0</v>
      </c>
    </row>
    <row r="70" spans="31:34" ht="18.75" customHeight="1" x14ac:dyDescent="0.25">
      <c r="AE70">
        <v>67</v>
      </c>
      <c r="AF70" s="41">
        <v>1</v>
      </c>
      <c r="AG70" s="43">
        <v>0</v>
      </c>
      <c r="AH70" s="41">
        <v>11</v>
      </c>
    </row>
    <row r="71" spans="31:34" ht="18.75" customHeight="1" x14ac:dyDescent="0.25">
      <c r="AE71">
        <v>68</v>
      </c>
      <c r="AF71" s="41">
        <v>1</v>
      </c>
      <c r="AG71" s="41">
        <v>1</v>
      </c>
      <c r="AH71" s="41">
        <v>10</v>
      </c>
    </row>
    <row r="72" spans="31:34" ht="18.75" customHeight="1" x14ac:dyDescent="0.25">
      <c r="AE72">
        <v>69</v>
      </c>
      <c r="AF72" s="41">
        <v>1</v>
      </c>
      <c r="AG72" s="41">
        <v>2</v>
      </c>
      <c r="AH72" s="41">
        <v>9</v>
      </c>
    </row>
    <row r="73" spans="31:34" ht="18.75" customHeight="1" x14ac:dyDescent="0.25">
      <c r="AE73">
        <v>70</v>
      </c>
      <c r="AF73" s="41">
        <v>1</v>
      </c>
      <c r="AG73" s="41">
        <v>3</v>
      </c>
      <c r="AH73" s="41">
        <v>8</v>
      </c>
    </row>
    <row r="74" spans="31:34" ht="18.75" customHeight="1" x14ac:dyDescent="0.25">
      <c r="AE74">
        <v>71</v>
      </c>
      <c r="AF74" s="41">
        <v>1</v>
      </c>
      <c r="AG74" s="41">
        <v>4</v>
      </c>
      <c r="AH74" s="41">
        <v>7</v>
      </c>
    </row>
    <row r="75" spans="31:34" ht="18.75" customHeight="1" x14ac:dyDescent="0.25">
      <c r="AE75">
        <v>72</v>
      </c>
      <c r="AF75" s="41">
        <v>1</v>
      </c>
      <c r="AG75" s="41">
        <v>5</v>
      </c>
      <c r="AH75" s="41">
        <v>6</v>
      </c>
    </row>
    <row r="76" spans="31:34" ht="18.75" customHeight="1" x14ac:dyDescent="0.25">
      <c r="AE76">
        <v>73</v>
      </c>
      <c r="AF76" s="41">
        <v>1</v>
      </c>
      <c r="AG76" s="41">
        <v>6</v>
      </c>
      <c r="AH76" s="41">
        <v>5</v>
      </c>
    </row>
    <row r="77" spans="31:34" ht="18.75" customHeight="1" x14ac:dyDescent="0.25">
      <c r="AE77">
        <v>74</v>
      </c>
      <c r="AF77" s="41">
        <v>1</v>
      </c>
      <c r="AG77" s="41">
        <v>7</v>
      </c>
      <c r="AH77" s="41">
        <v>4</v>
      </c>
    </row>
    <row r="78" spans="31:34" ht="18.75" customHeight="1" x14ac:dyDescent="0.25">
      <c r="AE78">
        <v>75</v>
      </c>
      <c r="AF78" s="41">
        <v>1</v>
      </c>
      <c r="AG78" s="41">
        <v>8</v>
      </c>
      <c r="AH78" s="41">
        <v>3</v>
      </c>
    </row>
    <row r="79" spans="31:34" ht="18.75" customHeight="1" x14ac:dyDescent="0.25">
      <c r="AE79">
        <v>76</v>
      </c>
      <c r="AF79" s="41">
        <v>1</v>
      </c>
      <c r="AG79" s="41">
        <v>9</v>
      </c>
      <c r="AH79" s="41">
        <v>2</v>
      </c>
    </row>
    <row r="80" spans="31:34" ht="18.75" customHeight="1" x14ac:dyDescent="0.25">
      <c r="AE80">
        <v>77</v>
      </c>
      <c r="AF80" s="41">
        <v>1</v>
      </c>
      <c r="AG80" s="41">
        <v>10</v>
      </c>
      <c r="AH80" s="41">
        <v>1</v>
      </c>
    </row>
    <row r="81" spans="31:34" ht="18.75" customHeight="1" x14ac:dyDescent="0.25">
      <c r="AE81">
        <v>78</v>
      </c>
      <c r="AF81" s="41">
        <v>1</v>
      </c>
      <c r="AG81" s="41">
        <v>11</v>
      </c>
      <c r="AH81" s="43">
        <v>0</v>
      </c>
    </row>
    <row r="82" spans="31:34" ht="18.75" customHeight="1" x14ac:dyDescent="0.25">
      <c r="AE82">
        <v>79</v>
      </c>
      <c r="AF82" s="43">
        <v>0</v>
      </c>
      <c r="AG82" s="43">
        <v>0</v>
      </c>
      <c r="AH82" s="41">
        <v>12</v>
      </c>
    </row>
    <row r="83" spans="31:34" ht="18.75" customHeight="1" x14ac:dyDescent="0.25">
      <c r="AE83">
        <v>80</v>
      </c>
      <c r="AF83" s="43">
        <v>0</v>
      </c>
      <c r="AG83" s="41">
        <v>1</v>
      </c>
      <c r="AH83" s="41">
        <v>11</v>
      </c>
    </row>
    <row r="84" spans="31:34" ht="18.75" customHeight="1" x14ac:dyDescent="0.25">
      <c r="AE84">
        <v>81</v>
      </c>
      <c r="AF84" s="43">
        <v>0</v>
      </c>
      <c r="AG84" s="41">
        <v>2</v>
      </c>
      <c r="AH84" s="41">
        <v>10</v>
      </c>
    </row>
    <row r="85" spans="31:34" ht="18.75" customHeight="1" x14ac:dyDescent="0.25">
      <c r="AE85">
        <v>82</v>
      </c>
      <c r="AF85" s="43">
        <v>0</v>
      </c>
      <c r="AG85" s="41">
        <v>3</v>
      </c>
      <c r="AH85" s="41">
        <v>9</v>
      </c>
    </row>
    <row r="86" spans="31:34" ht="18.75" customHeight="1" x14ac:dyDescent="0.25">
      <c r="AE86">
        <v>83</v>
      </c>
      <c r="AF86" s="43">
        <v>0</v>
      </c>
      <c r="AG86" s="41">
        <v>4</v>
      </c>
      <c r="AH86" s="41">
        <v>8</v>
      </c>
    </row>
    <row r="87" spans="31:34" ht="18.75" customHeight="1" x14ac:dyDescent="0.25">
      <c r="AE87">
        <v>84</v>
      </c>
      <c r="AF87" s="43">
        <v>0</v>
      </c>
      <c r="AG87" s="41">
        <v>5</v>
      </c>
      <c r="AH87" s="41">
        <v>7</v>
      </c>
    </row>
    <row r="88" spans="31:34" ht="18.75" customHeight="1" x14ac:dyDescent="0.25">
      <c r="AE88">
        <v>85</v>
      </c>
      <c r="AF88" s="43">
        <v>0</v>
      </c>
      <c r="AG88" s="41">
        <v>6</v>
      </c>
      <c r="AH88" s="41">
        <v>6</v>
      </c>
    </row>
    <row r="89" spans="31:34" ht="18.75" customHeight="1" x14ac:dyDescent="0.25">
      <c r="AE89">
        <v>86</v>
      </c>
      <c r="AF89" s="43">
        <v>0</v>
      </c>
      <c r="AG89" s="41">
        <v>7</v>
      </c>
      <c r="AH89" s="41">
        <v>5</v>
      </c>
    </row>
    <row r="90" spans="31:34" ht="18.75" customHeight="1" x14ac:dyDescent="0.25">
      <c r="AE90">
        <v>87</v>
      </c>
      <c r="AF90" s="43">
        <v>0</v>
      </c>
      <c r="AG90" s="41">
        <v>8</v>
      </c>
      <c r="AH90" s="41">
        <v>4</v>
      </c>
    </row>
    <row r="91" spans="31:34" ht="18.75" customHeight="1" x14ac:dyDescent="0.25">
      <c r="AE91">
        <v>88</v>
      </c>
      <c r="AF91" s="43">
        <v>0</v>
      </c>
      <c r="AG91" s="41">
        <v>9</v>
      </c>
      <c r="AH91" s="41">
        <v>3</v>
      </c>
    </row>
    <row r="92" spans="31:34" ht="18.75" customHeight="1" x14ac:dyDescent="0.25">
      <c r="AE92">
        <v>89</v>
      </c>
      <c r="AF92" s="43">
        <v>0</v>
      </c>
      <c r="AG92" s="41">
        <v>10</v>
      </c>
      <c r="AH92" s="41">
        <v>2</v>
      </c>
    </row>
    <row r="93" spans="31:34" ht="18.75" customHeight="1" x14ac:dyDescent="0.25">
      <c r="AE93">
        <v>90</v>
      </c>
      <c r="AF93" s="43">
        <v>0</v>
      </c>
      <c r="AG93" s="41">
        <v>11</v>
      </c>
      <c r="AH93" s="41">
        <v>1</v>
      </c>
    </row>
    <row r="94" spans="31:34" ht="18.75" customHeight="1" x14ac:dyDescent="0.25">
      <c r="AE94">
        <v>91</v>
      </c>
      <c r="AF94" s="43">
        <v>0</v>
      </c>
      <c r="AG94" s="41">
        <v>12</v>
      </c>
      <c r="AH94" s="43">
        <v>0</v>
      </c>
    </row>
    <row r="95" spans="31:34" ht="18.75" customHeight="1" x14ac:dyDescent="0.25"/>
    <row r="96" spans="31:34"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sheetData>
  <phoneticPr fontId="8"/>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93"/>
  <sheetViews>
    <sheetView workbookViewId="0">
      <selection activeCell="I13" sqref="I13"/>
    </sheetView>
  </sheetViews>
  <sheetFormatPr defaultColWidth="12.5703125" defaultRowHeight="15" customHeight="1" x14ac:dyDescent="0.25"/>
  <cols>
    <col min="1" max="18" width="9.5703125" customWidth="1"/>
    <col min="19" max="26" width="7.5703125" customWidth="1"/>
  </cols>
  <sheetData>
    <row r="1" spans="1:14" ht="18.75" customHeight="1" x14ac:dyDescent="0.25">
      <c r="A1" s="24">
        <v>112</v>
      </c>
      <c r="B1" s="24" t="s">
        <v>361</v>
      </c>
      <c r="C1" s="24"/>
      <c r="D1" s="24"/>
      <c r="E1" s="24"/>
      <c r="F1" s="24"/>
      <c r="G1" s="24"/>
      <c r="H1" s="24"/>
      <c r="I1" s="24"/>
      <c r="J1" s="24"/>
      <c r="K1" s="24"/>
      <c r="L1" s="24"/>
      <c r="M1" s="24"/>
    </row>
    <row r="2" spans="1:14" ht="18.75" customHeight="1" x14ac:dyDescent="0.25">
      <c r="A2" s="24"/>
      <c r="B2" s="24" t="s">
        <v>358</v>
      </c>
      <c r="C2" s="24"/>
      <c r="D2" s="24"/>
      <c r="E2" s="24"/>
      <c r="F2" s="24"/>
      <c r="G2" s="24"/>
      <c r="H2" s="24"/>
      <c r="I2" s="24"/>
      <c r="J2" s="24"/>
      <c r="K2" s="24"/>
      <c r="L2" s="24"/>
      <c r="M2" s="24"/>
    </row>
    <row r="3" spans="1:14" ht="18.75" customHeight="1" x14ac:dyDescent="0.25">
      <c r="A3" s="24"/>
      <c r="B3" s="25" t="s">
        <v>360</v>
      </c>
      <c r="C3" s="24"/>
      <c r="D3" s="24"/>
      <c r="E3" s="24"/>
      <c r="F3" s="24"/>
      <c r="G3" s="24"/>
      <c r="H3" s="24"/>
      <c r="I3" s="24"/>
      <c r="J3" s="24"/>
      <c r="K3" s="24"/>
      <c r="L3" s="24"/>
      <c r="M3" s="24"/>
    </row>
    <row r="4" spans="1:14" ht="18.75" customHeight="1" x14ac:dyDescent="0.25">
      <c r="A4" s="24"/>
      <c r="B4" s="25" t="s">
        <v>362</v>
      </c>
      <c r="C4" s="24"/>
      <c r="D4" s="24"/>
      <c r="E4" s="24"/>
      <c r="F4" s="24"/>
      <c r="G4" s="24"/>
      <c r="H4" s="24"/>
      <c r="I4" s="24"/>
      <c r="J4" s="24"/>
      <c r="K4" s="24"/>
      <c r="L4" s="24"/>
      <c r="M4" s="24"/>
    </row>
    <row r="5" spans="1:14" ht="18.75" customHeight="1" x14ac:dyDescent="0.25">
      <c r="A5" s="24"/>
      <c r="B5" s="25" t="s">
        <v>359</v>
      </c>
      <c r="C5" s="24"/>
      <c r="D5" s="24"/>
      <c r="E5" s="24"/>
      <c r="F5" s="24"/>
      <c r="G5" s="24"/>
      <c r="H5" s="24"/>
      <c r="I5" s="24"/>
      <c r="J5" s="24"/>
      <c r="K5" s="24"/>
      <c r="L5" s="24"/>
      <c r="M5" s="24"/>
    </row>
    <row r="6" spans="1:14" ht="18.75" customHeight="1" x14ac:dyDescent="0.25"/>
    <row r="7" spans="1:14" ht="18.75" customHeight="1" x14ac:dyDescent="0.25">
      <c r="A7" s="1" t="s">
        <v>197</v>
      </c>
    </row>
    <row r="8" spans="1:14" ht="18.75" customHeight="1" x14ac:dyDescent="0.25"/>
    <row r="9" spans="1:14" ht="18.75" customHeight="1" x14ac:dyDescent="0.25">
      <c r="B9" s="1" t="s">
        <v>198</v>
      </c>
      <c r="K9" s="21" t="s">
        <v>199</v>
      </c>
      <c r="L9" s="21"/>
    </row>
    <row r="10" spans="1:14" ht="18.75" customHeight="1" x14ac:dyDescent="0.25">
      <c r="B10" s="1" t="s">
        <v>200</v>
      </c>
      <c r="K10" s="21" t="s">
        <v>201</v>
      </c>
      <c r="L10" s="21"/>
    </row>
    <row r="11" spans="1:14" ht="18.75" customHeight="1" x14ac:dyDescent="0.25">
      <c r="B11" s="1" t="s">
        <v>202</v>
      </c>
      <c r="K11" s="21" t="s">
        <v>203</v>
      </c>
      <c r="L11" s="21"/>
      <c r="N11" s="1" t="s">
        <v>204</v>
      </c>
    </row>
    <row r="12" spans="1:14" ht="18.75" customHeight="1" x14ac:dyDescent="0.25">
      <c r="B12" s="1" t="s">
        <v>205</v>
      </c>
      <c r="K12" s="21" t="s">
        <v>206</v>
      </c>
      <c r="L12" s="21"/>
    </row>
    <row r="13" spans="1:14" ht="18.75" customHeight="1" x14ac:dyDescent="0.25">
      <c r="B13" s="1" t="s">
        <v>207</v>
      </c>
      <c r="K13" s="21" t="s">
        <v>208</v>
      </c>
      <c r="L13" s="21"/>
    </row>
    <row r="14" spans="1:14" ht="18.75" customHeight="1" x14ac:dyDescent="0.25">
      <c r="K14" s="21" t="s">
        <v>209</v>
      </c>
      <c r="L14" s="21"/>
    </row>
    <row r="15" spans="1:14" ht="18.75" customHeight="1" x14ac:dyDescent="0.25">
      <c r="K15" s="21"/>
      <c r="L15" s="21"/>
    </row>
    <row r="16" spans="1:14" ht="18.75" customHeight="1" x14ac:dyDescent="0.25">
      <c r="K16" s="21" t="s">
        <v>210</v>
      </c>
      <c r="L16" s="21"/>
    </row>
    <row r="17" spans="2:14" ht="18.75" customHeight="1" x14ac:dyDescent="0.25">
      <c r="K17" s="21" t="s">
        <v>211</v>
      </c>
      <c r="L17" s="21"/>
      <c r="N17" s="1" t="s">
        <v>212</v>
      </c>
    </row>
    <row r="18" spans="2:14" ht="18.75" customHeight="1" x14ac:dyDescent="0.25">
      <c r="K18" s="21" t="s">
        <v>213</v>
      </c>
      <c r="L18" s="21"/>
    </row>
    <row r="19" spans="2:14" ht="18.75" customHeight="1" x14ac:dyDescent="0.25">
      <c r="K19" s="21" t="s">
        <v>214</v>
      </c>
      <c r="L19" s="21"/>
      <c r="N19" s="1" t="s">
        <v>11</v>
      </c>
    </row>
    <row r="20" spans="2:14" ht="18.75" customHeight="1" x14ac:dyDescent="0.25">
      <c r="K20" s="21" t="s">
        <v>215</v>
      </c>
      <c r="L20" s="21"/>
      <c r="N20" s="1" t="s">
        <v>216</v>
      </c>
    </row>
    <row r="21" spans="2:14" ht="18.75" customHeight="1" x14ac:dyDescent="0.25">
      <c r="K21" s="21" t="s">
        <v>217</v>
      </c>
      <c r="L21" s="21"/>
    </row>
    <row r="22" spans="2:14" ht="18.75" customHeight="1" x14ac:dyDescent="0.25">
      <c r="K22" s="21" t="s">
        <v>218</v>
      </c>
      <c r="L22" s="21"/>
    </row>
    <row r="23" spans="2:14" ht="18.75" customHeight="1" x14ac:dyDescent="0.25">
      <c r="K23" s="21" t="s">
        <v>366</v>
      </c>
      <c r="L23" s="21"/>
    </row>
    <row r="24" spans="2:14" ht="18.75" customHeight="1" x14ac:dyDescent="0.25">
      <c r="B24" s="32" t="s">
        <v>364</v>
      </c>
      <c r="K24" s="21" t="s">
        <v>365</v>
      </c>
      <c r="L24" s="21"/>
    </row>
    <row r="25" spans="2:14" ht="18.75" customHeight="1" x14ac:dyDescent="0.25">
      <c r="B25" s="32" t="s">
        <v>363</v>
      </c>
      <c r="K25" s="21" t="s">
        <v>219</v>
      </c>
      <c r="L25" s="21"/>
    </row>
    <row r="26" spans="2:14" ht="18.75" customHeight="1" x14ac:dyDescent="0.25">
      <c r="K26" s="21" t="s">
        <v>220</v>
      </c>
      <c r="L26" s="21"/>
    </row>
    <row r="27" spans="2:14" ht="18.75" customHeight="1" x14ac:dyDescent="0.25">
      <c r="K27" s="21" t="s">
        <v>221</v>
      </c>
      <c r="L27" s="21"/>
    </row>
    <row r="28" spans="2:14" ht="18.75" customHeight="1" x14ac:dyDescent="0.25">
      <c r="K28" s="21"/>
      <c r="L28" s="21"/>
    </row>
    <row r="29" spans="2:14" ht="18.75" customHeight="1" x14ac:dyDescent="0.25">
      <c r="K29" s="21" t="s">
        <v>222</v>
      </c>
      <c r="L29" s="21"/>
    </row>
    <row r="30" spans="2:14" ht="18.75" customHeight="1" x14ac:dyDescent="0.25"/>
    <row r="31" spans="2:14" ht="18.75" customHeight="1" x14ac:dyDescent="0.25"/>
    <row r="32" spans="2:14"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sheetData>
  <phoneticPr fontId="8"/>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00"/>
  <sheetViews>
    <sheetView workbookViewId="0">
      <selection activeCell="U9" sqref="U9"/>
    </sheetView>
  </sheetViews>
  <sheetFormatPr defaultColWidth="12.5703125" defaultRowHeight="15" customHeight="1" x14ac:dyDescent="0.25"/>
  <cols>
    <col min="1" max="14" width="10.7109375" customWidth="1"/>
    <col min="15" max="21" width="9.42578125" customWidth="1"/>
    <col min="22" max="26" width="7.5703125" customWidth="1"/>
  </cols>
  <sheetData>
    <row r="1" spans="1:19" ht="18.75" customHeight="1" x14ac:dyDescent="0.25">
      <c r="A1" s="24">
        <v>113</v>
      </c>
      <c r="B1" s="24" t="s">
        <v>367</v>
      </c>
      <c r="C1" s="24"/>
      <c r="D1" s="24"/>
      <c r="E1" s="24"/>
      <c r="F1" s="24"/>
    </row>
    <row r="2" spans="1:19" ht="18.75" customHeight="1" x14ac:dyDescent="0.25">
      <c r="A2" s="24"/>
      <c r="B2" s="25" t="s">
        <v>368</v>
      </c>
      <c r="C2" s="24"/>
      <c r="D2" s="24"/>
      <c r="E2" s="24"/>
      <c r="F2" s="24"/>
    </row>
    <row r="3" spans="1:19" ht="18.75" customHeight="1" x14ac:dyDescent="0.25">
      <c r="A3" s="24"/>
      <c r="B3" s="25" t="s">
        <v>369</v>
      </c>
      <c r="C3" s="24"/>
      <c r="D3" s="24"/>
      <c r="E3" s="24"/>
      <c r="F3" s="24"/>
    </row>
    <row r="4" spans="1:19" ht="18.75" customHeight="1" x14ac:dyDescent="0.25">
      <c r="A4" s="24"/>
      <c r="B4" s="44" t="s">
        <v>370</v>
      </c>
      <c r="C4" s="24"/>
      <c r="D4" s="24"/>
      <c r="E4" s="24"/>
      <c r="F4" s="24"/>
    </row>
    <row r="5" spans="1:19" ht="18.75" customHeight="1" x14ac:dyDescent="0.25">
      <c r="B5" s="24" t="s">
        <v>371</v>
      </c>
    </row>
    <row r="6" spans="1:19" ht="18.75" customHeight="1" x14ac:dyDescent="0.25"/>
    <row r="7" spans="1:19" ht="18.75" customHeight="1" x14ac:dyDescent="0.25"/>
    <row r="8" spans="1:19" ht="18.75" customHeight="1" x14ac:dyDescent="0.25">
      <c r="B8" s="1" t="s">
        <v>227</v>
      </c>
      <c r="J8" s="1" t="s">
        <v>228</v>
      </c>
      <c r="K8" s="1" t="s">
        <v>229</v>
      </c>
      <c r="O8" s="4" t="s">
        <v>287</v>
      </c>
      <c r="P8" s="22" t="s">
        <v>380</v>
      </c>
      <c r="S8" s="21" t="s">
        <v>381</v>
      </c>
    </row>
    <row r="9" spans="1:19" ht="18.75" customHeight="1" x14ac:dyDescent="0.25">
      <c r="B9" s="1" t="s">
        <v>224</v>
      </c>
      <c r="C9" s="1" t="s">
        <v>230</v>
      </c>
      <c r="K9" s="1" t="s">
        <v>224</v>
      </c>
      <c r="L9" s="1" t="s">
        <v>230</v>
      </c>
      <c r="O9" s="15"/>
      <c r="P9" s="47"/>
      <c r="Q9" s="48" t="s">
        <v>383</v>
      </c>
      <c r="R9" s="49" t="s">
        <v>376</v>
      </c>
    </row>
    <row r="10" spans="1:19" ht="18.75" customHeight="1" x14ac:dyDescent="0.25">
      <c r="B10" s="1">
        <v>1</v>
      </c>
      <c r="C10" s="1">
        <v>1</v>
      </c>
      <c r="D10" s="1" t="s">
        <v>231</v>
      </c>
      <c r="K10" s="1">
        <v>1</v>
      </c>
      <c r="L10" s="1" t="s">
        <v>232</v>
      </c>
      <c r="N10" s="1" t="s">
        <v>11</v>
      </c>
      <c r="O10" s="15"/>
      <c r="P10" s="47"/>
      <c r="Q10" s="48">
        <v>1</v>
      </c>
      <c r="R10" s="41">
        <v>4</v>
      </c>
    </row>
    <row r="11" spans="1:19" ht="18.75" customHeight="1" x14ac:dyDescent="0.25">
      <c r="B11" s="1">
        <v>2</v>
      </c>
      <c r="C11" s="1">
        <v>2</v>
      </c>
      <c r="D11" s="1" t="s">
        <v>231</v>
      </c>
      <c r="K11" s="1">
        <v>3</v>
      </c>
      <c r="N11" s="1" t="s">
        <v>11</v>
      </c>
      <c r="O11" s="15"/>
      <c r="P11" s="47"/>
      <c r="Q11" s="48">
        <v>1</v>
      </c>
      <c r="R11" s="41">
        <v>6</v>
      </c>
      <c r="S11" s="21"/>
    </row>
    <row r="12" spans="1:19" ht="18.75" customHeight="1" x14ac:dyDescent="0.25">
      <c r="B12" s="1">
        <v>3</v>
      </c>
      <c r="C12" s="1">
        <v>3</v>
      </c>
      <c r="D12" s="1" t="s">
        <v>233</v>
      </c>
      <c r="K12" s="1">
        <v>5</v>
      </c>
      <c r="N12" s="1" t="s">
        <v>11</v>
      </c>
      <c r="O12" s="15"/>
      <c r="P12" s="47"/>
      <c r="Q12" s="48">
        <v>1</v>
      </c>
      <c r="R12" s="41">
        <v>8</v>
      </c>
      <c r="S12" s="21"/>
    </row>
    <row r="13" spans="1:19" ht="18.75" customHeight="1" x14ac:dyDescent="0.25">
      <c r="B13" s="1" t="s">
        <v>234</v>
      </c>
      <c r="K13" s="1">
        <v>7</v>
      </c>
      <c r="N13" s="1" t="s">
        <v>11</v>
      </c>
      <c r="O13" s="15"/>
      <c r="P13" s="47"/>
      <c r="Q13" s="48">
        <v>1</v>
      </c>
      <c r="R13" s="41">
        <v>10</v>
      </c>
      <c r="S13" s="21"/>
    </row>
    <row r="14" spans="1:19" ht="18.75" customHeight="1" x14ac:dyDescent="0.25">
      <c r="K14" s="1">
        <v>9</v>
      </c>
      <c r="N14" s="1" t="s">
        <v>11</v>
      </c>
      <c r="O14" s="15"/>
      <c r="P14" s="47" t="s">
        <v>384</v>
      </c>
      <c r="R14" s="21" t="s">
        <v>349</v>
      </c>
      <c r="S14" s="21"/>
    </row>
    <row r="15" spans="1:19" ht="18.75" customHeight="1" x14ac:dyDescent="0.25">
      <c r="B15" s="1" t="s">
        <v>235</v>
      </c>
      <c r="K15" s="1">
        <v>11</v>
      </c>
      <c r="N15" s="1" t="s">
        <v>11</v>
      </c>
      <c r="O15" s="15"/>
      <c r="P15" s="47" t="s">
        <v>385</v>
      </c>
      <c r="Q15" s="47"/>
      <c r="R15" s="15"/>
      <c r="S15" s="1"/>
    </row>
    <row r="16" spans="1:19" ht="18.75" customHeight="1" x14ac:dyDescent="0.25">
      <c r="B16" s="1" t="s">
        <v>236</v>
      </c>
      <c r="N16" s="1" t="s">
        <v>237</v>
      </c>
      <c r="O16" s="15"/>
      <c r="P16" s="15"/>
      <c r="Q16" s="50" t="s">
        <v>386</v>
      </c>
      <c r="R16" s="15"/>
      <c r="S16" s="1" t="s">
        <v>237</v>
      </c>
    </row>
    <row r="17" spans="2:19" ht="18.75" customHeight="1" x14ac:dyDescent="0.25">
      <c r="B17" s="1" t="s">
        <v>238</v>
      </c>
    </row>
    <row r="18" spans="2:19" ht="18.75" customHeight="1" x14ac:dyDescent="0.25">
      <c r="B18" s="1" t="s">
        <v>239</v>
      </c>
      <c r="J18" s="22" t="s">
        <v>374</v>
      </c>
      <c r="K18" s="1" t="s">
        <v>240</v>
      </c>
      <c r="P18" s="22" t="s">
        <v>379</v>
      </c>
      <c r="S18" s="1" t="s">
        <v>223</v>
      </c>
    </row>
    <row r="19" spans="2:19" ht="18.75" customHeight="1" x14ac:dyDescent="0.25">
      <c r="B19" s="1" t="s">
        <v>241</v>
      </c>
      <c r="K19" s="1" t="s">
        <v>224</v>
      </c>
      <c r="P19" s="6"/>
      <c r="Q19" s="45" t="s">
        <v>378</v>
      </c>
      <c r="R19" s="46"/>
      <c r="S19" s="22" t="s">
        <v>377</v>
      </c>
    </row>
    <row r="20" spans="2:19" ht="18.75" customHeight="1" x14ac:dyDescent="0.25">
      <c r="B20" s="1" t="s">
        <v>243</v>
      </c>
      <c r="K20" s="1" t="s">
        <v>244</v>
      </c>
      <c r="L20" s="1" t="s">
        <v>245</v>
      </c>
      <c r="N20" s="1" t="s">
        <v>225</v>
      </c>
      <c r="P20" s="6">
        <v>1</v>
      </c>
      <c r="Q20" s="6">
        <v>1</v>
      </c>
      <c r="R20" s="6">
        <v>3</v>
      </c>
      <c r="S20" s="1" t="s">
        <v>225</v>
      </c>
    </row>
    <row r="21" spans="2:19" ht="18.75" customHeight="1" x14ac:dyDescent="0.25">
      <c r="B21" s="21" t="s">
        <v>372</v>
      </c>
      <c r="K21" s="1" t="s">
        <v>247</v>
      </c>
      <c r="L21" s="1" t="s">
        <v>248</v>
      </c>
      <c r="N21" s="1" t="s">
        <v>226</v>
      </c>
      <c r="P21" s="6">
        <v>2</v>
      </c>
      <c r="Q21" s="6">
        <v>1</v>
      </c>
      <c r="R21" s="6">
        <v>5</v>
      </c>
      <c r="S21" s="1" t="s">
        <v>226</v>
      </c>
    </row>
    <row r="22" spans="2:19" ht="18.75" customHeight="1" x14ac:dyDescent="0.25">
      <c r="B22" s="1" t="s">
        <v>246</v>
      </c>
      <c r="K22" s="1" t="s">
        <v>249</v>
      </c>
      <c r="L22" s="1" t="s">
        <v>250</v>
      </c>
      <c r="N22" s="1" t="s">
        <v>226</v>
      </c>
      <c r="P22" s="6">
        <v>3</v>
      </c>
      <c r="Q22" s="6">
        <v>1</v>
      </c>
      <c r="R22" s="6">
        <v>7</v>
      </c>
      <c r="S22" s="1" t="s">
        <v>226</v>
      </c>
    </row>
    <row r="23" spans="2:19" ht="18.75" customHeight="1" x14ac:dyDescent="0.25">
      <c r="K23" s="1" t="s">
        <v>251</v>
      </c>
      <c r="N23" s="1" t="s">
        <v>226</v>
      </c>
      <c r="P23" s="6">
        <v>4</v>
      </c>
      <c r="Q23" s="6">
        <v>1</v>
      </c>
      <c r="R23" s="6">
        <v>9</v>
      </c>
      <c r="S23" s="1" t="s">
        <v>226</v>
      </c>
    </row>
    <row r="24" spans="2:19" ht="18.75" customHeight="1" x14ac:dyDescent="0.25">
      <c r="K24" s="1" t="s">
        <v>252</v>
      </c>
      <c r="N24" s="1" t="s">
        <v>225</v>
      </c>
      <c r="P24" s="6">
        <v>5</v>
      </c>
      <c r="Q24" s="6">
        <v>1</v>
      </c>
      <c r="R24" s="6">
        <v>11</v>
      </c>
      <c r="S24" s="1" t="s">
        <v>225</v>
      </c>
    </row>
    <row r="25" spans="2:19" ht="18.75" customHeight="1" x14ac:dyDescent="0.25">
      <c r="K25" s="32" t="s">
        <v>382</v>
      </c>
      <c r="N25" s="22" t="s">
        <v>373</v>
      </c>
      <c r="P25" s="6">
        <v>6</v>
      </c>
      <c r="Q25" s="6">
        <v>3</v>
      </c>
      <c r="R25" s="6">
        <v>5</v>
      </c>
      <c r="S25" s="1" t="s">
        <v>225</v>
      </c>
    </row>
    <row r="26" spans="2:19" ht="18.75" customHeight="1" x14ac:dyDescent="0.25">
      <c r="P26" s="6">
        <v>7</v>
      </c>
      <c r="Q26" s="6">
        <v>3</v>
      </c>
      <c r="R26" s="6">
        <v>7</v>
      </c>
      <c r="S26" s="1" t="s">
        <v>226</v>
      </c>
    </row>
    <row r="27" spans="2:19" ht="18.75" customHeight="1" x14ac:dyDescent="0.25">
      <c r="L27" s="22" t="s">
        <v>375</v>
      </c>
      <c r="N27" s="1" t="s">
        <v>253</v>
      </c>
      <c r="P27" s="6">
        <v>8</v>
      </c>
      <c r="Q27" s="6">
        <v>3</v>
      </c>
      <c r="R27" s="6">
        <v>9</v>
      </c>
      <c r="S27" s="1" t="s">
        <v>226</v>
      </c>
    </row>
    <row r="28" spans="2:19" ht="18.75" customHeight="1" x14ac:dyDescent="0.25">
      <c r="P28" s="6">
        <v>9</v>
      </c>
      <c r="Q28" s="6">
        <v>3</v>
      </c>
      <c r="R28" s="6">
        <v>11</v>
      </c>
      <c r="S28" s="1" t="s">
        <v>226</v>
      </c>
    </row>
    <row r="29" spans="2:19" ht="18.75" customHeight="1" x14ac:dyDescent="0.25">
      <c r="P29" s="6">
        <v>10</v>
      </c>
      <c r="Q29" s="6">
        <v>5</v>
      </c>
      <c r="R29" s="6">
        <v>7</v>
      </c>
      <c r="S29" s="1" t="s">
        <v>225</v>
      </c>
    </row>
    <row r="30" spans="2:19" ht="18.75" customHeight="1" x14ac:dyDescent="0.25">
      <c r="P30" s="6">
        <v>11</v>
      </c>
      <c r="Q30" s="6">
        <v>5</v>
      </c>
      <c r="R30" s="6">
        <v>9</v>
      </c>
      <c r="S30" s="1" t="s">
        <v>226</v>
      </c>
    </row>
    <row r="31" spans="2:19" ht="18.75" customHeight="1" x14ac:dyDescent="0.25">
      <c r="P31" s="6">
        <v>12</v>
      </c>
      <c r="Q31" s="6">
        <v>5</v>
      </c>
      <c r="R31" s="6">
        <v>11</v>
      </c>
      <c r="S31" s="1" t="s">
        <v>226</v>
      </c>
    </row>
    <row r="32" spans="2:19" ht="18.75" customHeight="1" x14ac:dyDescent="0.25">
      <c r="P32" s="6">
        <v>13</v>
      </c>
      <c r="Q32" s="6">
        <v>7</v>
      </c>
      <c r="R32" s="6">
        <v>9</v>
      </c>
      <c r="S32" s="1" t="s">
        <v>225</v>
      </c>
    </row>
    <row r="33" spans="16:19" ht="18.75" customHeight="1" x14ac:dyDescent="0.25">
      <c r="P33" s="6">
        <v>14</v>
      </c>
      <c r="Q33" s="6">
        <v>7</v>
      </c>
      <c r="R33" s="6">
        <v>11</v>
      </c>
      <c r="S33" s="1" t="s">
        <v>226</v>
      </c>
    </row>
    <row r="34" spans="16:19" ht="18.75" customHeight="1" x14ac:dyDescent="0.25">
      <c r="P34" s="6">
        <v>15</v>
      </c>
      <c r="Q34" s="6">
        <v>9</v>
      </c>
      <c r="R34" s="6">
        <v>11</v>
      </c>
      <c r="S34" s="1" t="s">
        <v>225</v>
      </c>
    </row>
    <row r="35" spans="16:19" ht="18.75" customHeight="1" x14ac:dyDescent="0.25">
      <c r="S35" s="1" t="s">
        <v>242</v>
      </c>
    </row>
    <row r="36" spans="16:19" ht="18.75" customHeight="1" x14ac:dyDescent="0.25"/>
    <row r="37" spans="16:19" ht="18.75" customHeight="1" x14ac:dyDescent="0.25"/>
    <row r="38" spans="16:19" ht="18.75" customHeight="1" x14ac:dyDescent="0.25"/>
    <row r="39" spans="16:19" ht="18.75" customHeight="1" x14ac:dyDescent="0.25"/>
    <row r="40" spans="16:19" ht="18.75" customHeight="1" x14ac:dyDescent="0.25"/>
    <row r="41" spans="16:19" ht="18.75" customHeight="1" x14ac:dyDescent="0.25"/>
    <row r="42" spans="16:19" ht="18.75" customHeight="1" x14ac:dyDescent="0.25"/>
    <row r="43" spans="16:19" ht="18.75" customHeight="1" x14ac:dyDescent="0.25"/>
    <row r="44" spans="16:19" ht="18.75" customHeight="1" x14ac:dyDescent="0.25"/>
    <row r="45" spans="16:19" ht="18.75" customHeight="1" x14ac:dyDescent="0.25"/>
    <row r="46" spans="16:19" ht="18.75" customHeight="1" x14ac:dyDescent="0.25"/>
    <row r="47" spans="16:19" ht="18.75" customHeight="1" x14ac:dyDescent="0.25"/>
    <row r="48" spans="16:19"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sheetData>
  <phoneticPr fontId="8"/>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004"/>
  <sheetViews>
    <sheetView topLeftCell="A3" workbookViewId="0">
      <selection activeCell="J13" sqref="J13"/>
    </sheetView>
  </sheetViews>
  <sheetFormatPr defaultColWidth="12.5703125" defaultRowHeight="15" customHeight="1" x14ac:dyDescent="0.25"/>
  <cols>
    <col min="1" max="15" width="9.5703125" customWidth="1"/>
    <col min="16" max="40" width="5.7109375" customWidth="1"/>
  </cols>
  <sheetData>
    <row r="1" spans="1:40" ht="18.75" customHeight="1" x14ac:dyDescent="0.25">
      <c r="A1" s="24">
        <v>114</v>
      </c>
      <c r="B1" s="24" t="s">
        <v>387</v>
      </c>
      <c r="C1" s="24"/>
      <c r="D1" s="24"/>
      <c r="E1" s="24"/>
    </row>
    <row r="2" spans="1:40" ht="18.75" customHeight="1" x14ac:dyDescent="0.25">
      <c r="A2" s="24"/>
      <c r="B2" s="34" t="s">
        <v>278</v>
      </c>
      <c r="C2" s="24" t="s">
        <v>388</v>
      </c>
      <c r="D2" s="24"/>
      <c r="E2" s="24"/>
      <c r="O2" s="4" t="s">
        <v>287</v>
      </c>
      <c r="P2" s="32" t="s">
        <v>416</v>
      </c>
    </row>
    <row r="3" spans="1:40" ht="18.75" customHeight="1" x14ac:dyDescent="0.25">
      <c r="A3" s="24"/>
      <c r="B3" s="34" t="s">
        <v>279</v>
      </c>
      <c r="C3" s="51" t="s">
        <v>389</v>
      </c>
      <c r="D3" s="24"/>
      <c r="E3" s="24"/>
      <c r="P3" s="32" t="s">
        <v>417</v>
      </c>
    </row>
    <row r="4" spans="1:40" ht="18.75" customHeight="1" x14ac:dyDescent="0.25">
      <c r="A4" s="24"/>
      <c r="B4" s="34"/>
      <c r="C4" s="25" t="s">
        <v>390</v>
      </c>
      <c r="D4" s="24"/>
      <c r="E4" s="24"/>
      <c r="P4" s="32" t="s">
        <v>418</v>
      </c>
    </row>
    <row r="5" spans="1:40" ht="18.75" customHeight="1" x14ac:dyDescent="0.25">
      <c r="A5" s="24"/>
      <c r="B5" s="34"/>
      <c r="C5" s="25" t="s">
        <v>391</v>
      </c>
      <c r="D5" s="24"/>
      <c r="E5" s="24"/>
      <c r="P5">
        <v>7</v>
      </c>
      <c r="Q5" s="13"/>
      <c r="R5" s="13"/>
      <c r="S5" s="13"/>
      <c r="T5" s="13"/>
      <c r="AD5">
        <v>1</v>
      </c>
    </row>
    <row r="6" spans="1:40" ht="18.75" customHeight="1" x14ac:dyDescent="0.25">
      <c r="Q6" s="14"/>
      <c r="R6" s="15"/>
      <c r="T6" s="15"/>
      <c r="U6" s="10"/>
      <c r="V6" s="10"/>
      <c r="W6" s="10"/>
      <c r="X6" s="10"/>
      <c r="Y6" s="10"/>
      <c r="Z6" s="10"/>
      <c r="AA6" s="10"/>
      <c r="AB6" s="10"/>
      <c r="AC6" s="10"/>
      <c r="AD6" s="11"/>
      <c r="AE6" s="12"/>
      <c r="AF6" s="10"/>
      <c r="AG6" s="10"/>
      <c r="AH6" s="10"/>
      <c r="AI6" s="10"/>
      <c r="AJ6" s="10"/>
      <c r="AK6" s="10"/>
      <c r="AL6" s="10"/>
      <c r="AM6" s="10"/>
      <c r="AN6" s="7"/>
    </row>
    <row r="7" spans="1:40" ht="18.75" customHeight="1" x14ac:dyDescent="0.25">
      <c r="A7" s="1" t="s">
        <v>254</v>
      </c>
      <c r="B7" s="1" t="s">
        <v>255</v>
      </c>
      <c r="P7">
        <v>6</v>
      </c>
      <c r="Q7" s="14"/>
      <c r="R7" s="15"/>
      <c r="T7" s="15"/>
      <c r="U7" s="15"/>
      <c r="V7" s="15"/>
      <c r="W7" s="15"/>
      <c r="X7" s="15"/>
      <c r="Y7" s="15"/>
      <c r="Z7" s="15"/>
      <c r="AA7" s="15"/>
      <c r="AB7" s="15">
        <v>1</v>
      </c>
      <c r="AC7" s="16"/>
      <c r="AD7" s="15"/>
      <c r="AE7" s="15"/>
      <c r="AF7" s="17">
        <v>6</v>
      </c>
      <c r="AG7" s="15"/>
      <c r="AH7" s="15"/>
      <c r="AI7" s="15"/>
      <c r="AJ7" s="15"/>
      <c r="AK7" s="15"/>
      <c r="AL7" s="15"/>
      <c r="AM7" s="15"/>
      <c r="AN7" s="18"/>
    </row>
    <row r="8" spans="1:40" ht="18.75" customHeight="1" x14ac:dyDescent="0.25">
      <c r="B8" s="1" t="s">
        <v>256</v>
      </c>
      <c r="Q8" s="14"/>
      <c r="R8" s="15"/>
      <c r="T8" s="15"/>
      <c r="U8" s="15"/>
      <c r="V8" s="15"/>
      <c r="W8" s="15"/>
      <c r="X8" s="15"/>
      <c r="Y8" s="15"/>
      <c r="Z8" s="15"/>
      <c r="AA8" s="15"/>
      <c r="AB8" s="16"/>
      <c r="AC8" s="17"/>
      <c r="AD8" s="15"/>
      <c r="AE8" s="15"/>
      <c r="AF8" s="16"/>
      <c r="AG8" s="17"/>
      <c r="AH8" s="15"/>
      <c r="AI8" s="15"/>
      <c r="AJ8" s="15"/>
      <c r="AK8" s="15"/>
      <c r="AL8" s="15"/>
      <c r="AM8" s="15"/>
      <c r="AN8" s="18"/>
    </row>
    <row r="9" spans="1:40" ht="18.75" customHeight="1" x14ac:dyDescent="0.25">
      <c r="B9" s="1" t="s">
        <v>257</v>
      </c>
      <c r="P9">
        <v>5</v>
      </c>
      <c r="Q9" s="14"/>
      <c r="R9" s="15"/>
      <c r="T9" s="15"/>
      <c r="U9" s="15"/>
      <c r="V9" s="15"/>
      <c r="W9" s="15"/>
      <c r="X9" s="15"/>
      <c r="Y9" s="15"/>
      <c r="Z9" s="15">
        <v>1</v>
      </c>
      <c r="AA9" s="16"/>
      <c r="AB9" s="15"/>
      <c r="AC9" s="15"/>
      <c r="AD9" s="17">
        <v>5</v>
      </c>
      <c r="AE9" s="16"/>
      <c r="AF9" s="15"/>
      <c r="AG9" s="15"/>
      <c r="AH9" s="17">
        <v>20</v>
      </c>
      <c r="AI9" s="15"/>
      <c r="AJ9" s="15"/>
      <c r="AK9" s="15"/>
      <c r="AL9" s="15"/>
      <c r="AM9" s="15"/>
      <c r="AN9" s="18"/>
    </row>
    <row r="10" spans="1:40" ht="18.75" customHeight="1" x14ac:dyDescent="0.25">
      <c r="B10" s="1" t="s">
        <v>258</v>
      </c>
      <c r="Q10" s="14"/>
      <c r="R10" s="15"/>
      <c r="T10" s="15"/>
      <c r="U10" s="15"/>
      <c r="V10" s="15"/>
      <c r="W10" s="15"/>
      <c r="X10" s="15"/>
      <c r="Y10" s="15"/>
      <c r="Z10" s="16"/>
      <c r="AA10" s="17"/>
      <c r="AB10" s="15"/>
      <c r="AC10" s="15"/>
      <c r="AD10" s="16"/>
      <c r="AE10" s="17"/>
      <c r="AF10" s="15"/>
      <c r="AG10" s="15"/>
      <c r="AH10" s="16"/>
      <c r="AI10" s="17"/>
      <c r="AJ10" s="15"/>
      <c r="AK10" s="15"/>
      <c r="AL10" s="15"/>
      <c r="AM10" s="15"/>
      <c r="AN10" s="18"/>
    </row>
    <row r="11" spans="1:40" ht="18.75" customHeight="1" x14ac:dyDescent="0.25">
      <c r="B11" s="21" t="s">
        <v>392</v>
      </c>
      <c r="C11" s="1" t="s">
        <v>259</v>
      </c>
      <c r="P11">
        <v>4</v>
      </c>
      <c r="Q11" s="14"/>
      <c r="R11" s="15"/>
      <c r="T11" s="15"/>
      <c r="U11" s="15"/>
      <c r="V11" s="15"/>
      <c r="W11" s="15"/>
      <c r="X11" s="15">
        <v>1</v>
      </c>
      <c r="Y11" s="16"/>
      <c r="Z11" s="15"/>
      <c r="AA11" s="15"/>
      <c r="AB11" s="17">
        <v>4</v>
      </c>
      <c r="AC11" s="16"/>
      <c r="AD11" s="15"/>
      <c r="AE11" s="15"/>
      <c r="AF11" s="17">
        <v>14</v>
      </c>
      <c r="AG11" s="16"/>
      <c r="AH11" s="15"/>
      <c r="AI11" s="15"/>
      <c r="AJ11" s="17">
        <v>48</v>
      </c>
      <c r="AK11" s="15"/>
      <c r="AL11" s="15"/>
      <c r="AM11" s="15"/>
      <c r="AN11" s="18"/>
    </row>
    <row r="12" spans="1:40" ht="18.75" customHeight="1" x14ac:dyDescent="0.25">
      <c r="Q12" s="14"/>
      <c r="R12" s="15"/>
      <c r="T12" s="15"/>
      <c r="U12" s="15"/>
      <c r="V12" s="15"/>
      <c r="W12" s="15"/>
      <c r="X12" s="16"/>
      <c r="Y12" s="17"/>
      <c r="Z12" s="15"/>
      <c r="AA12" s="15"/>
      <c r="AB12" s="16"/>
      <c r="AC12" s="17"/>
      <c r="AD12" s="15"/>
      <c r="AE12" s="15"/>
      <c r="AF12" s="16"/>
      <c r="AG12" s="17"/>
      <c r="AH12" s="15"/>
      <c r="AI12" s="15"/>
      <c r="AJ12" s="16"/>
      <c r="AK12" s="17"/>
      <c r="AL12" s="15"/>
      <c r="AM12" s="15"/>
      <c r="AN12" s="18"/>
    </row>
    <row r="13" spans="1:40" ht="18.75" customHeight="1" x14ac:dyDescent="0.25">
      <c r="A13" s="1" t="s">
        <v>260</v>
      </c>
      <c r="B13" s="1" t="s">
        <v>261</v>
      </c>
      <c r="P13">
        <v>3</v>
      </c>
      <c r="Q13" s="14"/>
      <c r="R13" s="15"/>
      <c r="T13" s="15"/>
      <c r="U13" s="15"/>
      <c r="V13" s="15">
        <v>1</v>
      </c>
      <c r="W13" s="16"/>
      <c r="X13" s="15"/>
      <c r="Y13" s="15"/>
      <c r="Z13" s="17">
        <v>3</v>
      </c>
      <c r="AA13" s="16"/>
      <c r="AB13" s="15"/>
      <c r="AC13" s="15"/>
      <c r="AD13" s="17">
        <v>9</v>
      </c>
      <c r="AE13" s="16"/>
      <c r="AF13" s="15"/>
      <c r="AG13" s="15"/>
      <c r="AH13" s="17">
        <v>28</v>
      </c>
      <c r="AI13" s="16"/>
      <c r="AJ13" s="15"/>
      <c r="AK13" s="15"/>
      <c r="AL13" s="17">
        <v>90</v>
      </c>
      <c r="AM13" s="15"/>
      <c r="AN13" s="18"/>
    </row>
    <row r="14" spans="1:40" ht="18.75" customHeight="1" x14ac:dyDescent="0.25">
      <c r="B14" s="52" t="s">
        <v>400</v>
      </c>
      <c r="Q14" s="14"/>
      <c r="R14" s="15"/>
      <c r="T14" s="15"/>
      <c r="U14" s="15"/>
      <c r="V14" s="16"/>
      <c r="W14" s="17"/>
      <c r="X14" s="15"/>
      <c r="Y14" s="15"/>
      <c r="Z14" s="16"/>
      <c r="AA14" s="17"/>
      <c r="AB14" s="15"/>
      <c r="AC14" s="15"/>
      <c r="AD14" s="16"/>
      <c r="AE14" s="17"/>
      <c r="AF14" s="15"/>
      <c r="AG14" s="15"/>
      <c r="AH14" s="16"/>
      <c r="AI14" s="17"/>
      <c r="AJ14" s="15"/>
      <c r="AK14" s="15"/>
      <c r="AL14" s="16"/>
      <c r="AM14" s="17"/>
      <c r="AN14" s="18"/>
    </row>
    <row r="15" spans="1:40" ht="18.75" customHeight="1" x14ac:dyDescent="0.25">
      <c r="B15" s="53" t="s">
        <v>262</v>
      </c>
      <c r="C15" s="53" t="s">
        <v>263</v>
      </c>
      <c r="D15" s="53" t="s">
        <v>264</v>
      </c>
      <c r="E15" s="53" t="s">
        <v>265</v>
      </c>
      <c r="F15" s="53" t="s">
        <v>266</v>
      </c>
      <c r="G15" s="53" t="s">
        <v>267</v>
      </c>
      <c r="H15" s="53" t="s">
        <v>268</v>
      </c>
      <c r="I15" s="53" t="s">
        <v>269</v>
      </c>
      <c r="J15" s="53" t="s">
        <v>270</v>
      </c>
      <c r="K15" s="53" t="s">
        <v>271</v>
      </c>
      <c r="L15" s="53" t="s">
        <v>272</v>
      </c>
      <c r="M15" s="53" t="s">
        <v>273</v>
      </c>
      <c r="P15">
        <v>2</v>
      </c>
      <c r="Q15" s="14"/>
      <c r="R15" s="15"/>
      <c r="T15" s="15">
        <v>1</v>
      </c>
      <c r="U15" s="16"/>
      <c r="V15" s="15"/>
      <c r="W15" s="15"/>
      <c r="X15" s="17">
        <v>2</v>
      </c>
      <c r="Y15" s="16"/>
      <c r="Z15" s="15"/>
      <c r="AA15" s="15"/>
      <c r="AB15" s="17">
        <v>5</v>
      </c>
      <c r="AC15" s="16"/>
      <c r="AD15" s="15"/>
      <c r="AE15" s="15"/>
      <c r="AF15" s="17">
        <v>14</v>
      </c>
      <c r="AG15" s="16"/>
      <c r="AH15" s="15"/>
      <c r="AI15" s="15"/>
      <c r="AJ15" s="17">
        <v>42</v>
      </c>
      <c r="AK15" s="16"/>
      <c r="AL15" s="15"/>
      <c r="AM15" s="15"/>
      <c r="AN15" s="19">
        <v>132</v>
      </c>
    </row>
    <row r="16" spans="1:40" ht="18.75" customHeight="1" x14ac:dyDescent="0.25">
      <c r="A16" s="1" t="s">
        <v>90</v>
      </c>
      <c r="B16" s="1" t="s">
        <v>152</v>
      </c>
      <c r="C16" s="1" t="s">
        <v>152</v>
      </c>
      <c r="D16" s="54" t="s">
        <v>152</v>
      </c>
      <c r="E16" s="1" t="s">
        <v>152</v>
      </c>
      <c r="F16" s="1" t="s">
        <v>152</v>
      </c>
      <c r="G16" s="1" t="s">
        <v>152</v>
      </c>
      <c r="H16" s="1" t="s">
        <v>152</v>
      </c>
      <c r="I16" s="54" t="s">
        <v>154</v>
      </c>
      <c r="J16" s="1" t="s">
        <v>154</v>
      </c>
      <c r="K16" s="1" t="s">
        <v>154</v>
      </c>
      <c r="L16" s="1" t="s">
        <v>154</v>
      </c>
      <c r="M16" s="1" t="s">
        <v>154</v>
      </c>
      <c r="N16" s="1" t="s">
        <v>226</v>
      </c>
      <c r="Q16" s="14"/>
      <c r="R16" s="15"/>
      <c r="S16" s="15"/>
      <c r="T16" s="16"/>
      <c r="U16" s="17"/>
      <c r="V16" s="15"/>
      <c r="W16" s="15"/>
      <c r="X16" s="16"/>
      <c r="Y16" s="17"/>
      <c r="Z16" s="15"/>
      <c r="AA16" s="15"/>
      <c r="AB16" s="16"/>
      <c r="AC16" s="17"/>
      <c r="AD16" s="15"/>
      <c r="AE16" s="15"/>
      <c r="AF16" s="16"/>
      <c r="AG16" s="17"/>
      <c r="AH16" s="15"/>
      <c r="AI16" s="15"/>
      <c r="AJ16" s="16"/>
      <c r="AK16" s="17"/>
      <c r="AL16" s="15"/>
      <c r="AM16" s="15"/>
      <c r="AN16" s="20"/>
    </row>
    <row r="17" spans="1:40" ht="18.75" customHeight="1" x14ac:dyDescent="0.25">
      <c r="A17" s="1"/>
      <c r="B17" s="1"/>
      <c r="C17" s="57"/>
      <c r="D17" s="57"/>
      <c r="E17" s="57"/>
      <c r="F17" s="57"/>
      <c r="G17" s="57"/>
      <c r="H17" s="57"/>
      <c r="I17" s="57"/>
      <c r="J17" s="57"/>
      <c r="K17" s="1"/>
      <c r="L17" s="1"/>
      <c r="M17" s="1"/>
      <c r="N17" s="1"/>
      <c r="P17">
        <v>1</v>
      </c>
      <c r="Q17" s="14"/>
      <c r="R17" s="15">
        <v>1</v>
      </c>
      <c r="S17" s="16"/>
      <c r="T17" s="15"/>
      <c r="U17" s="15"/>
      <c r="V17" s="17">
        <v>1</v>
      </c>
      <c r="W17" s="16"/>
      <c r="X17" s="15"/>
      <c r="Y17" s="15"/>
      <c r="Z17" s="17">
        <v>2</v>
      </c>
      <c r="AA17" s="16"/>
      <c r="AB17" s="15"/>
      <c r="AC17" s="15"/>
      <c r="AD17" s="17">
        <v>5</v>
      </c>
      <c r="AE17" s="16"/>
      <c r="AF17" s="15"/>
      <c r="AG17" s="15"/>
      <c r="AH17" s="17">
        <v>14</v>
      </c>
      <c r="AI17" s="16"/>
      <c r="AJ17" s="15"/>
      <c r="AK17" s="15"/>
      <c r="AL17" s="17">
        <v>42</v>
      </c>
      <c r="AM17" s="16"/>
      <c r="AN17" s="18"/>
    </row>
    <row r="18" spans="1:40" ht="18.75" customHeight="1" x14ac:dyDescent="0.25">
      <c r="A18" s="1" t="s">
        <v>99</v>
      </c>
      <c r="B18" s="1" t="s">
        <v>152</v>
      </c>
      <c r="C18" s="1" t="s">
        <v>152</v>
      </c>
      <c r="D18" s="55" t="s">
        <v>152</v>
      </c>
      <c r="E18" s="1" t="s">
        <v>152</v>
      </c>
      <c r="F18" s="1" t="s">
        <v>152</v>
      </c>
      <c r="G18" s="1" t="s">
        <v>152</v>
      </c>
      <c r="H18" s="1" t="s">
        <v>154</v>
      </c>
      <c r="I18" s="56" t="s">
        <v>339</v>
      </c>
      <c r="J18" s="32" t="s">
        <v>401</v>
      </c>
      <c r="K18" s="32" t="s">
        <v>401</v>
      </c>
      <c r="L18" s="32" t="s">
        <v>401</v>
      </c>
      <c r="M18" s="32" t="s">
        <v>401</v>
      </c>
      <c r="N18" s="1"/>
      <c r="Q18" s="14"/>
      <c r="R18" s="16"/>
      <c r="T18" s="15"/>
      <c r="U18" s="15"/>
      <c r="V18" s="15"/>
      <c r="W18" s="15"/>
      <c r="X18" s="15"/>
      <c r="Y18" s="15"/>
      <c r="Z18" s="15"/>
      <c r="AA18" s="15"/>
      <c r="AB18" s="15"/>
      <c r="AC18" s="15"/>
      <c r="AD18" s="15"/>
      <c r="AE18" s="15"/>
      <c r="AF18" s="15"/>
      <c r="AG18" s="15"/>
      <c r="AH18" s="15"/>
      <c r="AI18" s="15"/>
      <c r="AJ18" s="15"/>
      <c r="AK18" s="15"/>
      <c r="AL18" s="15"/>
      <c r="AM18" s="15"/>
      <c r="AN18" s="18"/>
    </row>
    <row r="19" spans="1:40" ht="18.75" customHeight="1" x14ac:dyDescent="0.25">
      <c r="C19" s="15"/>
      <c r="D19" s="50" t="s">
        <v>402</v>
      </c>
      <c r="E19" s="15"/>
      <c r="F19" s="15"/>
      <c r="G19" s="15"/>
      <c r="H19" s="15"/>
      <c r="I19" s="50" t="s">
        <v>403</v>
      </c>
      <c r="J19" s="15"/>
      <c r="N19" s="21" t="s">
        <v>404</v>
      </c>
      <c r="O19" s="1"/>
      <c r="P19">
        <v>0</v>
      </c>
      <c r="Q19" s="9"/>
      <c r="R19" s="13"/>
      <c r="S19" s="13"/>
      <c r="T19" s="13"/>
      <c r="U19" s="13"/>
      <c r="V19" s="13"/>
      <c r="W19" s="13"/>
      <c r="X19" s="13"/>
      <c r="Y19" s="13"/>
      <c r="Z19" s="13"/>
      <c r="AA19" s="13"/>
      <c r="AB19" s="13"/>
      <c r="AC19" s="13"/>
      <c r="AD19" s="13"/>
      <c r="AE19" s="13"/>
      <c r="AF19" s="13"/>
      <c r="AG19" s="13"/>
      <c r="AH19" s="13"/>
      <c r="AI19" s="13"/>
      <c r="AJ19" s="13"/>
      <c r="AK19" s="13"/>
      <c r="AL19" s="13"/>
      <c r="AM19" s="13"/>
      <c r="AN19" s="8"/>
    </row>
    <row r="20" spans="1:40" ht="18.75" customHeight="1" x14ac:dyDescent="0.25">
      <c r="C20" s="15"/>
      <c r="D20" s="15"/>
      <c r="E20" s="15"/>
      <c r="F20" s="15"/>
      <c r="G20" s="15"/>
      <c r="H20" s="15"/>
      <c r="I20" s="15"/>
      <c r="J20" s="15"/>
      <c r="R20">
        <v>1</v>
      </c>
      <c r="T20">
        <v>2</v>
      </c>
      <c r="V20">
        <v>3</v>
      </c>
      <c r="X20">
        <v>4</v>
      </c>
      <c r="Z20">
        <v>5</v>
      </c>
      <c r="AB20">
        <v>6</v>
      </c>
      <c r="AD20">
        <v>7</v>
      </c>
      <c r="AF20">
        <v>8</v>
      </c>
      <c r="AH20">
        <v>9</v>
      </c>
      <c r="AJ20">
        <v>10</v>
      </c>
      <c r="AL20">
        <v>11</v>
      </c>
      <c r="AN20">
        <v>12</v>
      </c>
    </row>
    <row r="21" spans="1:40" ht="18.75" customHeight="1" x14ac:dyDescent="0.25">
      <c r="A21" s="1" t="s">
        <v>274</v>
      </c>
      <c r="B21" s="1" t="s">
        <v>152</v>
      </c>
      <c r="C21" s="1" t="s">
        <v>152</v>
      </c>
      <c r="D21" s="55" t="s">
        <v>152</v>
      </c>
      <c r="E21" s="1" t="s">
        <v>152</v>
      </c>
      <c r="F21" s="1" t="s">
        <v>152</v>
      </c>
      <c r="G21" s="1" t="s">
        <v>154</v>
      </c>
      <c r="H21" s="21" t="s">
        <v>401</v>
      </c>
      <c r="I21" s="1" t="s">
        <v>152</v>
      </c>
      <c r="J21" s="1" t="s">
        <v>152</v>
      </c>
      <c r="O21" s="1"/>
    </row>
    <row r="22" spans="1:40" ht="18.75" customHeight="1" x14ac:dyDescent="0.25">
      <c r="D22" s="50" t="s">
        <v>407</v>
      </c>
      <c r="E22" s="15"/>
      <c r="F22" s="15"/>
      <c r="G22" s="15"/>
      <c r="H22" s="15"/>
      <c r="I22" s="50" t="s">
        <v>408</v>
      </c>
      <c r="N22" s="21" t="s">
        <v>410</v>
      </c>
      <c r="Q22" s="32" t="s">
        <v>419</v>
      </c>
    </row>
    <row r="23" spans="1:40" ht="18.75" customHeight="1" x14ac:dyDescent="0.25">
      <c r="A23" s="1"/>
      <c r="B23" s="1" t="s">
        <v>152</v>
      </c>
      <c r="C23" s="1" t="s">
        <v>152</v>
      </c>
      <c r="D23" s="58" t="s">
        <v>340</v>
      </c>
      <c r="E23" s="21" t="s">
        <v>340</v>
      </c>
      <c r="F23" s="1" t="s">
        <v>152</v>
      </c>
      <c r="G23" s="26" t="s">
        <v>339</v>
      </c>
      <c r="H23" s="26" t="s">
        <v>339</v>
      </c>
      <c r="I23" s="56" t="s">
        <v>340</v>
      </c>
      <c r="J23" s="32" t="s">
        <v>340</v>
      </c>
      <c r="K23" s="32" t="s">
        <v>340</v>
      </c>
      <c r="L23" s="1"/>
      <c r="M23" s="1"/>
      <c r="N23" s="26"/>
      <c r="Q23" s="32" t="s">
        <v>420</v>
      </c>
    </row>
    <row r="24" spans="1:40" ht="18.75" customHeight="1" x14ac:dyDescent="0.25">
      <c r="A24" s="1"/>
      <c r="B24" s="1"/>
      <c r="C24" s="57"/>
      <c r="D24" s="59" t="s">
        <v>405</v>
      </c>
      <c r="E24" s="50"/>
      <c r="F24" s="57"/>
      <c r="G24" s="59"/>
      <c r="H24" s="59"/>
      <c r="I24" s="50" t="s">
        <v>409</v>
      </c>
      <c r="M24" s="1"/>
      <c r="N24" s="26"/>
      <c r="Q24" s="22" t="s">
        <v>421</v>
      </c>
    </row>
    <row r="25" spans="1:40" ht="18.75" customHeight="1" x14ac:dyDescent="0.25">
      <c r="A25" s="1"/>
      <c r="B25" s="1"/>
      <c r="C25" s="57"/>
      <c r="D25" s="59"/>
      <c r="E25" s="57"/>
      <c r="F25" s="57"/>
      <c r="G25" s="57"/>
      <c r="H25" s="57"/>
      <c r="M25" s="1"/>
      <c r="N25" s="26"/>
      <c r="P25" s="1"/>
      <c r="Q25" s="1"/>
      <c r="R25" s="1"/>
      <c r="S25" s="1"/>
    </row>
    <row r="26" spans="1:40" ht="18.75" customHeight="1" x14ac:dyDescent="0.25">
      <c r="A26" s="1" t="s">
        <v>275</v>
      </c>
      <c r="B26" s="1" t="s">
        <v>152</v>
      </c>
      <c r="C26" s="1" t="s">
        <v>152</v>
      </c>
      <c r="D26" s="55" t="s">
        <v>152</v>
      </c>
      <c r="E26" s="1" t="s">
        <v>152</v>
      </c>
      <c r="F26" s="1" t="s">
        <v>154</v>
      </c>
      <c r="G26" s="1" t="s">
        <v>154</v>
      </c>
      <c r="H26" s="1" t="s">
        <v>154</v>
      </c>
      <c r="I26" s="60"/>
      <c r="J26" s="21"/>
      <c r="K26" s="32"/>
      <c r="L26" s="32"/>
      <c r="M26" s="32"/>
      <c r="N26" s="21" t="s">
        <v>414</v>
      </c>
      <c r="P26" s="1"/>
      <c r="Q26" s="1"/>
      <c r="R26" s="1"/>
      <c r="S26" s="1"/>
    </row>
    <row r="27" spans="1:40" ht="18.75" customHeight="1" x14ac:dyDescent="0.25">
      <c r="A27" s="1"/>
      <c r="B27" s="57"/>
      <c r="C27" s="57"/>
      <c r="D27" s="50" t="s">
        <v>413</v>
      </c>
      <c r="E27" s="15"/>
      <c r="F27" s="15"/>
      <c r="G27" s="15"/>
      <c r="H27" s="15"/>
      <c r="I27" s="62"/>
      <c r="J27" s="50"/>
      <c r="K27" s="63"/>
      <c r="L27" s="63"/>
      <c r="M27" s="63"/>
      <c r="N27" s="1"/>
      <c r="P27" s="1"/>
      <c r="Q27" s="1"/>
      <c r="R27" s="1"/>
      <c r="S27" s="1"/>
    </row>
    <row r="28" spans="1:40" ht="18.75" customHeight="1" x14ac:dyDescent="0.25">
      <c r="A28" s="1"/>
      <c r="B28" s="57"/>
      <c r="C28" s="57"/>
      <c r="D28" s="56" t="s">
        <v>339</v>
      </c>
      <c r="E28" s="63" t="s">
        <v>340</v>
      </c>
      <c r="F28" s="63" t="s">
        <v>340</v>
      </c>
      <c r="G28" s="26" t="s">
        <v>340</v>
      </c>
      <c r="H28" s="1" t="s">
        <v>152</v>
      </c>
      <c r="I28" s="60"/>
      <c r="J28" s="50"/>
      <c r="K28" s="63"/>
      <c r="L28" s="63"/>
      <c r="M28" s="63" t="s">
        <v>352</v>
      </c>
      <c r="N28" s="21" t="s">
        <v>415</v>
      </c>
      <c r="P28" s="1"/>
      <c r="Q28" s="1"/>
      <c r="R28" s="1"/>
      <c r="S28" s="1"/>
    </row>
    <row r="29" spans="1:40" ht="18.75" customHeight="1" x14ac:dyDescent="0.25">
      <c r="A29" s="1"/>
      <c r="B29" s="57"/>
      <c r="C29" s="57"/>
      <c r="D29" s="56" t="s">
        <v>340</v>
      </c>
      <c r="E29" s="63" t="s">
        <v>340</v>
      </c>
      <c r="F29" s="63" t="s">
        <v>340</v>
      </c>
      <c r="G29" s="1" t="s">
        <v>152</v>
      </c>
      <c r="H29" s="1" t="s">
        <v>152</v>
      </c>
      <c r="I29" s="60"/>
      <c r="J29" s="50"/>
      <c r="K29" s="63"/>
      <c r="L29" s="63"/>
      <c r="M29" s="63"/>
      <c r="N29" s="1"/>
      <c r="P29" s="1"/>
      <c r="Q29" s="1"/>
      <c r="R29" s="1"/>
      <c r="S29" s="1"/>
    </row>
    <row r="30" spans="1:40" ht="18.75" customHeight="1" x14ac:dyDescent="0.25">
      <c r="A30" s="1"/>
      <c r="B30" s="57"/>
      <c r="C30" s="57"/>
      <c r="D30" s="56" t="s">
        <v>340</v>
      </c>
      <c r="E30" s="63" t="s">
        <v>340</v>
      </c>
      <c r="F30" s="63" t="s">
        <v>339</v>
      </c>
      <c r="G30" s="63" t="s">
        <v>340</v>
      </c>
      <c r="H30" s="63" t="s">
        <v>406</v>
      </c>
      <c r="I30" s="60"/>
      <c r="J30" s="50"/>
      <c r="K30" s="63"/>
      <c r="L30" s="63"/>
      <c r="M30" s="63"/>
      <c r="N30" s="1"/>
      <c r="P30" s="1"/>
      <c r="Q30" s="1"/>
      <c r="R30" s="1"/>
      <c r="S30" s="1"/>
    </row>
    <row r="31" spans="1:40" ht="18.75" customHeight="1" x14ac:dyDescent="0.25">
      <c r="A31" s="1"/>
      <c r="B31" s="57"/>
      <c r="C31" s="57"/>
      <c r="D31" s="56" t="s">
        <v>340</v>
      </c>
      <c r="E31" s="63" t="s">
        <v>340</v>
      </c>
      <c r="F31" s="63" t="s">
        <v>339</v>
      </c>
      <c r="G31" s="63" t="s">
        <v>406</v>
      </c>
      <c r="H31" s="63" t="s">
        <v>340</v>
      </c>
      <c r="I31" s="60"/>
      <c r="J31" s="50"/>
      <c r="K31" s="63"/>
      <c r="L31" s="63"/>
      <c r="M31" s="63"/>
      <c r="N31" s="1"/>
      <c r="P31" s="1"/>
      <c r="Q31" s="1"/>
      <c r="R31" s="1"/>
      <c r="S31" s="1"/>
    </row>
    <row r="32" spans="1:40" ht="18.75" customHeight="1" x14ac:dyDescent="0.25">
      <c r="A32" s="1"/>
      <c r="B32" s="57"/>
      <c r="C32" s="57"/>
      <c r="D32" s="56" t="s">
        <v>340</v>
      </c>
      <c r="E32" s="63" t="s">
        <v>339</v>
      </c>
      <c r="F32" s="63" t="s">
        <v>340</v>
      </c>
      <c r="G32" s="63" t="s">
        <v>340</v>
      </c>
      <c r="H32" s="63" t="s">
        <v>406</v>
      </c>
      <c r="I32" s="60"/>
      <c r="P32" s="1"/>
      <c r="Q32" s="1"/>
      <c r="R32" s="1"/>
      <c r="S32" s="1"/>
    </row>
    <row r="33" spans="1:19" ht="18.75" customHeight="1" x14ac:dyDescent="0.25">
      <c r="A33" s="1"/>
      <c r="B33" s="57"/>
      <c r="C33" s="57"/>
      <c r="D33" s="63" t="s">
        <v>411</v>
      </c>
      <c r="E33" s="57"/>
      <c r="F33" s="57"/>
      <c r="G33" s="57"/>
      <c r="P33" s="1"/>
      <c r="Q33" s="1"/>
      <c r="R33" s="1"/>
      <c r="S33" s="1"/>
    </row>
    <row r="34" spans="1:19" ht="18.75" customHeight="1" x14ac:dyDescent="0.25">
      <c r="A34" s="1"/>
      <c r="B34" s="57"/>
      <c r="C34" s="57"/>
      <c r="D34" s="57"/>
      <c r="E34" s="57"/>
      <c r="F34" s="1"/>
      <c r="G34" s="1"/>
      <c r="H34" s="63"/>
      <c r="I34" s="62"/>
      <c r="J34" s="50"/>
      <c r="K34" s="63"/>
      <c r="L34" s="63"/>
      <c r="M34" s="63"/>
      <c r="N34" s="1"/>
      <c r="P34" s="1"/>
      <c r="Q34" s="1"/>
      <c r="R34" s="1"/>
      <c r="S34" s="1"/>
    </row>
    <row r="35" spans="1:19" ht="18.75" customHeight="1" x14ac:dyDescent="0.25">
      <c r="A35" s="1"/>
      <c r="B35" s="57"/>
      <c r="C35" s="57"/>
      <c r="D35" s="57"/>
      <c r="E35" s="57"/>
      <c r="F35" s="1"/>
      <c r="G35" s="1"/>
      <c r="H35" s="63"/>
      <c r="I35" s="60" t="s">
        <v>339</v>
      </c>
      <c r="J35" s="61" t="s">
        <v>339</v>
      </c>
      <c r="K35" s="32" t="s">
        <v>340</v>
      </c>
      <c r="L35" s="32" t="s">
        <v>340</v>
      </c>
      <c r="M35" s="32" t="s">
        <v>339</v>
      </c>
      <c r="N35" s="1"/>
      <c r="P35" s="1"/>
      <c r="Q35" s="1"/>
      <c r="R35" s="1"/>
      <c r="S35" s="1"/>
    </row>
    <row r="36" spans="1:19" ht="18.75" customHeight="1" x14ac:dyDescent="0.25">
      <c r="A36" s="1"/>
      <c r="B36" s="57"/>
      <c r="C36" s="57"/>
      <c r="D36" s="57"/>
      <c r="E36" s="57"/>
      <c r="F36" s="1"/>
      <c r="G36" s="1"/>
      <c r="H36" s="57"/>
      <c r="I36" s="60" t="s">
        <v>339</v>
      </c>
      <c r="J36" s="61" t="s">
        <v>339</v>
      </c>
      <c r="K36" s="32" t="s">
        <v>340</v>
      </c>
      <c r="L36" s="32" t="s">
        <v>339</v>
      </c>
      <c r="M36" s="32" t="s">
        <v>340</v>
      </c>
      <c r="N36" s="1"/>
      <c r="P36" s="1"/>
      <c r="Q36" s="1"/>
      <c r="R36" s="1"/>
      <c r="S36" s="1"/>
    </row>
    <row r="37" spans="1:19" ht="18.75" customHeight="1" x14ac:dyDescent="0.25">
      <c r="B37" s="57"/>
      <c r="C37" s="57"/>
      <c r="D37" s="57"/>
      <c r="E37" s="57"/>
      <c r="F37" s="1"/>
      <c r="G37" s="26"/>
      <c r="H37" s="1"/>
      <c r="I37" s="60" t="s">
        <v>339</v>
      </c>
      <c r="J37" s="61" t="s">
        <v>339</v>
      </c>
      <c r="K37" s="32" t="s">
        <v>339</v>
      </c>
      <c r="L37" s="32" t="s">
        <v>340</v>
      </c>
      <c r="M37" s="32" t="s">
        <v>340</v>
      </c>
      <c r="N37" s="1"/>
      <c r="P37" s="1"/>
      <c r="Q37" s="1"/>
      <c r="R37" s="1"/>
      <c r="S37" s="1"/>
    </row>
    <row r="38" spans="1:19" ht="18.75" customHeight="1" x14ac:dyDescent="0.25">
      <c r="H38" s="1"/>
      <c r="I38" s="60" t="s">
        <v>339</v>
      </c>
      <c r="J38" s="21" t="s">
        <v>340</v>
      </c>
      <c r="K38" s="32" t="s">
        <v>339</v>
      </c>
      <c r="L38" s="32" t="s">
        <v>340</v>
      </c>
      <c r="M38" s="32" t="s">
        <v>339</v>
      </c>
      <c r="N38" s="1"/>
      <c r="P38" s="1"/>
      <c r="Q38" s="1"/>
      <c r="R38" s="1"/>
      <c r="S38" s="1"/>
    </row>
    <row r="39" spans="1:19" ht="18.75" customHeight="1" x14ac:dyDescent="0.25">
      <c r="H39" s="1"/>
      <c r="I39" s="60" t="s">
        <v>339</v>
      </c>
      <c r="J39" s="21" t="s">
        <v>340</v>
      </c>
      <c r="K39" s="32" t="s">
        <v>339</v>
      </c>
      <c r="L39" s="32" t="s">
        <v>339</v>
      </c>
      <c r="M39" s="32" t="s">
        <v>340</v>
      </c>
      <c r="N39" s="1"/>
      <c r="P39" s="1"/>
      <c r="Q39" s="1"/>
      <c r="R39" s="1"/>
      <c r="S39" s="1"/>
    </row>
    <row r="40" spans="1:19" ht="18.75" customHeight="1" x14ac:dyDescent="0.25">
      <c r="H40" s="1"/>
      <c r="I40" s="50" t="s">
        <v>412</v>
      </c>
    </row>
    <row r="41" spans="1:19" ht="18.75" customHeight="1" x14ac:dyDescent="0.25"/>
    <row r="42" spans="1:19" ht="18.75" customHeight="1" x14ac:dyDescent="0.25"/>
    <row r="43" spans="1:19" ht="18.75" customHeight="1" x14ac:dyDescent="0.25"/>
    <row r="44" spans="1:19" ht="18.75" customHeight="1" x14ac:dyDescent="0.25"/>
    <row r="45" spans="1:19" ht="18.75" customHeight="1" x14ac:dyDescent="0.25"/>
    <row r="46" spans="1:19" ht="18.75" customHeight="1" x14ac:dyDescent="0.25"/>
    <row r="47" spans="1:19" ht="18.75" customHeight="1" x14ac:dyDescent="0.25"/>
    <row r="48" spans="1:19"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row r="1002" ht="18.75" customHeight="1" x14ac:dyDescent="0.25"/>
    <row r="1003" ht="18.75" customHeight="1" x14ac:dyDescent="0.25"/>
    <row r="1004" ht="18.75" customHeight="1" x14ac:dyDescent="0.25"/>
  </sheetData>
  <phoneticPr fontId="8"/>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3"/>
  <sheetViews>
    <sheetView workbookViewId="0">
      <selection activeCell="R17" sqref="R17"/>
    </sheetView>
  </sheetViews>
  <sheetFormatPr defaultColWidth="12.5703125" defaultRowHeight="15" customHeight="1" x14ac:dyDescent="0.25"/>
  <cols>
    <col min="1" max="26" width="7.5703125" customWidth="1"/>
  </cols>
  <sheetData>
    <row r="1" spans="1:11" ht="18.75" customHeight="1" x14ac:dyDescent="0.25">
      <c r="A1" s="24">
        <v>115</v>
      </c>
      <c r="B1" s="25" t="s">
        <v>393</v>
      </c>
      <c r="C1" s="24"/>
      <c r="D1" s="24"/>
      <c r="E1" s="24"/>
      <c r="F1" s="24"/>
      <c r="G1" s="24"/>
      <c r="H1" s="24"/>
      <c r="I1" s="24"/>
      <c r="J1" s="24"/>
    </row>
    <row r="2" spans="1:11" ht="18.75" customHeight="1" x14ac:dyDescent="0.25">
      <c r="A2" s="24"/>
      <c r="B2" s="25" t="s">
        <v>394</v>
      </c>
      <c r="C2" s="24"/>
      <c r="D2" s="24"/>
      <c r="E2" s="24"/>
      <c r="F2" s="24"/>
      <c r="G2" s="24"/>
      <c r="H2" s="24"/>
      <c r="I2" s="24"/>
      <c r="J2" s="24"/>
    </row>
    <row r="3" spans="1:11" ht="18.75" customHeight="1" x14ac:dyDescent="0.25">
      <c r="A3" s="24"/>
      <c r="B3" s="25" t="s">
        <v>395</v>
      </c>
      <c r="C3" s="24"/>
      <c r="D3" s="24"/>
      <c r="E3" s="24"/>
      <c r="F3" s="24"/>
      <c r="G3" s="24"/>
      <c r="H3" s="24"/>
      <c r="I3" s="24"/>
      <c r="J3" s="24"/>
    </row>
    <row r="4" spans="1:11" ht="18.75" customHeight="1" x14ac:dyDescent="0.25">
      <c r="A4" s="24"/>
      <c r="B4" s="25" t="s">
        <v>396</v>
      </c>
      <c r="C4" s="24"/>
      <c r="D4" s="24"/>
      <c r="E4" s="24"/>
      <c r="F4" s="24"/>
      <c r="G4" s="24"/>
      <c r="H4" s="24"/>
      <c r="I4" s="24"/>
      <c r="J4" s="24"/>
    </row>
    <row r="5" spans="1:11" ht="18.75" customHeight="1" x14ac:dyDescent="0.25">
      <c r="A5" s="24"/>
      <c r="B5" s="25" t="s">
        <v>397</v>
      </c>
      <c r="C5" s="24"/>
      <c r="D5" s="24"/>
      <c r="E5" s="24"/>
      <c r="F5" s="24"/>
      <c r="G5" s="24"/>
      <c r="H5" s="24"/>
      <c r="I5" s="24"/>
      <c r="J5" s="24"/>
    </row>
    <row r="6" spans="1:11" ht="18.75" customHeight="1" x14ac:dyDescent="0.25"/>
    <row r="7" spans="1:11" ht="18.75" customHeight="1" x14ac:dyDescent="0.25">
      <c r="B7" s="32" t="s">
        <v>428</v>
      </c>
    </row>
    <row r="8" spans="1:11" ht="18.75" customHeight="1" x14ac:dyDescent="0.25">
      <c r="B8" s="21" t="s">
        <v>429</v>
      </c>
    </row>
    <row r="9" spans="1:11" ht="18.75" customHeight="1" x14ac:dyDescent="0.25">
      <c r="B9" s="32" t="s">
        <v>430</v>
      </c>
    </row>
    <row r="10" spans="1:11" ht="18.75" customHeight="1" x14ac:dyDescent="0.25">
      <c r="B10" s="32" t="s">
        <v>432</v>
      </c>
    </row>
    <row r="11" spans="1:11" ht="18.75" customHeight="1" x14ac:dyDescent="0.25">
      <c r="B11" s="32"/>
      <c r="I11" s="32" t="s">
        <v>435</v>
      </c>
      <c r="K11" s="21" t="s">
        <v>436</v>
      </c>
    </row>
    <row r="12" spans="1:11" ht="18.75" customHeight="1" x14ac:dyDescent="0.25">
      <c r="A12" s="41"/>
      <c r="B12" s="64" t="s">
        <v>422</v>
      </c>
      <c r="C12" s="64" t="s">
        <v>423</v>
      </c>
      <c r="D12" s="64" t="s">
        <v>424</v>
      </c>
      <c r="E12" s="64" t="s">
        <v>425</v>
      </c>
      <c r="F12" s="64" t="s">
        <v>426</v>
      </c>
      <c r="G12" s="64" t="s">
        <v>427</v>
      </c>
    </row>
    <row r="13" spans="1:11" ht="18.75" customHeight="1" x14ac:dyDescent="0.25">
      <c r="A13" s="41">
        <v>1</v>
      </c>
      <c r="B13" s="64" t="s">
        <v>431</v>
      </c>
      <c r="C13" s="40" t="s">
        <v>336</v>
      </c>
      <c r="D13" s="40" t="s">
        <v>336</v>
      </c>
      <c r="E13" s="40" t="s">
        <v>336</v>
      </c>
      <c r="F13" s="40" t="s">
        <v>336</v>
      </c>
      <c r="G13" s="40" t="s">
        <v>336</v>
      </c>
    </row>
    <row r="14" spans="1:11" ht="18.75" customHeight="1" x14ac:dyDescent="0.25">
      <c r="A14" s="41">
        <v>2</v>
      </c>
      <c r="B14" s="64" t="s">
        <v>431</v>
      </c>
      <c r="C14" s="40" t="s">
        <v>336</v>
      </c>
      <c r="D14" s="40" t="s">
        <v>336</v>
      </c>
      <c r="E14" s="40" t="s">
        <v>336</v>
      </c>
      <c r="F14" s="40" t="s">
        <v>337</v>
      </c>
      <c r="G14" s="40" t="s">
        <v>336</v>
      </c>
    </row>
    <row r="15" spans="1:11" ht="18.75" customHeight="1" x14ac:dyDescent="0.25">
      <c r="A15" s="41">
        <v>3</v>
      </c>
      <c r="B15" s="64" t="s">
        <v>431</v>
      </c>
      <c r="C15" s="40" t="s">
        <v>336</v>
      </c>
      <c r="D15" s="40" t="s">
        <v>336</v>
      </c>
      <c r="E15" s="40" t="s">
        <v>337</v>
      </c>
      <c r="F15" s="40" t="s">
        <v>336</v>
      </c>
      <c r="G15" s="40" t="s">
        <v>336</v>
      </c>
    </row>
    <row r="16" spans="1:11" ht="18.75" customHeight="1" x14ac:dyDescent="0.25">
      <c r="A16" s="41">
        <v>4</v>
      </c>
      <c r="B16" s="64" t="s">
        <v>431</v>
      </c>
      <c r="C16" s="40" t="s">
        <v>336</v>
      </c>
      <c r="D16" s="40" t="s">
        <v>336</v>
      </c>
      <c r="E16" s="40" t="s">
        <v>337</v>
      </c>
      <c r="F16" s="40" t="s">
        <v>337</v>
      </c>
      <c r="G16" s="40" t="s">
        <v>336</v>
      </c>
      <c r="H16" s="32" t="s">
        <v>433</v>
      </c>
      <c r="I16" s="32" t="s">
        <v>434</v>
      </c>
    </row>
    <row r="17" spans="1:7" ht="18.75" customHeight="1" x14ac:dyDescent="0.25">
      <c r="A17" s="41">
        <v>5</v>
      </c>
      <c r="B17" s="64" t="s">
        <v>431</v>
      </c>
      <c r="C17" s="40" t="s">
        <v>336</v>
      </c>
      <c r="D17" s="40" t="s">
        <v>337</v>
      </c>
      <c r="E17" s="40" t="s">
        <v>336</v>
      </c>
      <c r="F17" s="40" t="s">
        <v>336</v>
      </c>
      <c r="G17" s="40" t="s">
        <v>336</v>
      </c>
    </row>
    <row r="18" spans="1:7" ht="18.75" customHeight="1" x14ac:dyDescent="0.25">
      <c r="A18" s="41">
        <v>6</v>
      </c>
      <c r="B18" s="64" t="s">
        <v>431</v>
      </c>
      <c r="C18" s="40" t="s">
        <v>336</v>
      </c>
      <c r="D18" s="40" t="s">
        <v>337</v>
      </c>
      <c r="E18" s="40" t="s">
        <v>336</v>
      </c>
      <c r="F18" s="40" t="s">
        <v>337</v>
      </c>
      <c r="G18" s="40" t="s">
        <v>336</v>
      </c>
    </row>
    <row r="19" spans="1:7" ht="18.75" customHeight="1" x14ac:dyDescent="0.25">
      <c r="A19" s="41">
        <v>7</v>
      </c>
      <c r="B19" s="64" t="s">
        <v>431</v>
      </c>
      <c r="C19" s="40" t="s">
        <v>336</v>
      </c>
      <c r="D19" s="40" t="s">
        <v>337</v>
      </c>
      <c r="E19" s="40" t="s">
        <v>337</v>
      </c>
      <c r="F19" s="40" t="s">
        <v>336</v>
      </c>
      <c r="G19" s="40" t="s">
        <v>336</v>
      </c>
    </row>
    <row r="20" spans="1:7" ht="18.75" customHeight="1" x14ac:dyDescent="0.25">
      <c r="A20" s="41">
        <v>8</v>
      </c>
      <c r="B20" s="64" t="s">
        <v>431</v>
      </c>
      <c r="C20" s="40" t="s">
        <v>336</v>
      </c>
      <c r="D20" s="40" t="s">
        <v>337</v>
      </c>
      <c r="E20" s="40" t="s">
        <v>337</v>
      </c>
      <c r="F20" s="40" t="s">
        <v>337</v>
      </c>
      <c r="G20" s="40" t="s">
        <v>336</v>
      </c>
    </row>
    <row r="21" spans="1:7" ht="18.75" customHeight="1" x14ac:dyDescent="0.25">
      <c r="A21" s="41">
        <v>9</v>
      </c>
      <c r="B21" s="64" t="s">
        <v>431</v>
      </c>
      <c r="C21" s="40" t="s">
        <v>337</v>
      </c>
      <c r="D21" s="40" t="s">
        <v>336</v>
      </c>
      <c r="E21" s="40" t="s">
        <v>336</v>
      </c>
      <c r="F21" s="40" t="s">
        <v>336</v>
      </c>
      <c r="G21" s="40" t="s">
        <v>336</v>
      </c>
    </row>
    <row r="22" spans="1:7" ht="18.75" customHeight="1" x14ac:dyDescent="0.25">
      <c r="A22" s="41">
        <v>10</v>
      </c>
      <c r="B22" s="64" t="s">
        <v>431</v>
      </c>
      <c r="C22" s="40" t="s">
        <v>337</v>
      </c>
      <c r="D22" s="40" t="s">
        <v>336</v>
      </c>
      <c r="E22" s="40" t="s">
        <v>336</v>
      </c>
      <c r="F22" s="40" t="s">
        <v>337</v>
      </c>
      <c r="G22" s="40" t="s">
        <v>336</v>
      </c>
    </row>
    <row r="23" spans="1:7" ht="18.75" customHeight="1" x14ac:dyDescent="0.25">
      <c r="A23" s="41">
        <v>11</v>
      </c>
      <c r="B23" s="64" t="s">
        <v>431</v>
      </c>
      <c r="C23" s="40" t="s">
        <v>337</v>
      </c>
      <c r="D23" s="40" t="s">
        <v>336</v>
      </c>
      <c r="E23" s="40" t="s">
        <v>337</v>
      </c>
      <c r="F23" s="40" t="s">
        <v>336</v>
      </c>
      <c r="G23" s="40" t="s">
        <v>336</v>
      </c>
    </row>
    <row r="24" spans="1:7" ht="18.75" customHeight="1" x14ac:dyDescent="0.25">
      <c r="A24" s="41">
        <v>12</v>
      </c>
      <c r="B24" s="64" t="s">
        <v>431</v>
      </c>
      <c r="C24" s="40" t="s">
        <v>337</v>
      </c>
      <c r="D24" s="40" t="s">
        <v>336</v>
      </c>
      <c r="E24" s="40" t="s">
        <v>337</v>
      </c>
      <c r="F24" s="40" t="s">
        <v>337</v>
      </c>
      <c r="G24" s="40" t="s">
        <v>336</v>
      </c>
    </row>
    <row r="25" spans="1:7" ht="18.75" customHeight="1" x14ac:dyDescent="0.25">
      <c r="A25" s="41">
        <v>13</v>
      </c>
      <c r="B25" s="64" t="s">
        <v>431</v>
      </c>
      <c r="C25" s="40" t="s">
        <v>337</v>
      </c>
      <c r="D25" s="40" t="s">
        <v>337</v>
      </c>
      <c r="E25" s="40" t="s">
        <v>336</v>
      </c>
      <c r="F25" s="40" t="s">
        <v>336</v>
      </c>
      <c r="G25" s="40" t="s">
        <v>336</v>
      </c>
    </row>
    <row r="26" spans="1:7" ht="18.75" customHeight="1" x14ac:dyDescent="0.25">
      <c r="A26" s="41">
        <v>14</v>
      </c>
      <c r="B26" s="64" t="s">
        <v>431</v>
      </c>
      <c r="C26" s="40" t="s">
        <v>337</v>
      </c>
      <c r="D26" s="40" t="s">
        <v>337</v>
      </c>
      <c r="E26" s="40" t="s">
        <v>336</v>
      </c>
      <c r="F26" s="40" t="s">
        <v>337</v>
      </c>
      <c r="G26" s="40" t="s">
        <v>336</v>
      </c>
    </row>
    <row r="27" spans="1:7" ht="18.75" customHeight="1" x14ac:dyDescent="0.25">
      <c r="A27" s="41">
        <v>15</v>
      </c>
      <c r="B27" s="64" t="s">
        <v>431</v>
      </c>
      <c r="C27" s="40" t="s">
        <v>337</v>
      </c>
      <c r="D27" s="40" t="s">
        <v>337</v>
      </c>
      <c r="E27" s="40" t="s">
        <v>337</v>
      </c>
      <c r="F27" s="40" t="s">
        <v>336</v>
      </c>
      <c r="G27" s="40" t="s">
        <v>336</v>
      </c>
    </row>
    <row r="28" spans="1:7" ht="18.75" customHeight="1" x14ac:dyDescent="0.25">
      <c r="A28" s="41">
        <v>16</v>
      </c>
      <c r="B28" s="64" t="s">
        <v>431</v>
      </c>
      <c r="C28" s="40" t="s">
        <v>337</v>
      </c>
      <c r="D28" s="40" t="s">
        <v>337</v>
      </c>
      <c r="E28" s="40" t="s">
        <v>337</v>
      </c>
      <c r="F28" s="40" t="s">
        <v>337</v>
      </c>
      <c r="G28" s="40" t="s">
        <v>336</v>
      </c>
    </row>
    <row r="29" spans="1:7" ht="18.75" customHeight="1" x14ac:dyDescent="0.25"/>
    <row r="30" spans="1:7" ht="18.75" customHeight="1" x14ac:dyDescent="0.25"/>
    <row r="31" spans="1:7" ht="18.75" customHeight="1" x14ac:dyDescent="0.25"/>
    <row r="32" spans="1:7"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row r="1002" ht="18.75" customHeight="1" x14ac:dyDescent="0.25"/>
    <row r="1003" ht="18.75" customHeight="1" x14ac:dyDescent="0.25"/>
  </sheetData>
  <phoneticPr fontId="8"/>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001"/>
  <sheetViews>
    <sheetView topLeftCell="A13" workbookViewId="0">
      <selection activeCell="B2" sqref="B2"/>
    </sheetView>
  </sheetViews>
  <sheetFormatPr defaultColWidth="12.5703125" defaultRowHeight="15" customHeight="1" x14ac:dyDescent="0.25"/>
  <cols>
    <col min="1" max="26" width="7.5703125" customWidth="1"/>
  </cols>
  <sheetData>
    <row r="1" spans="1:25" ht="18.75" customHeight="1" x14ac:dyDescent="0.25">
      <c r="A1" s="24">
        <v>116</v>
      </c>
      <c r="B1" s="25" t="s">
        <v>399</v>
      </c>
      <c r="C1" s="24"/>
      <c r="D1" s="24"/>
      <c r="E1" s="24"/>
      <c r="F1" s="24"/>
      <c r="G1" s="24"/>
      <c r="H1" s="24"/>
    </row>
    <row r="2" spans="1:25" ht="18.75" customHeight="1" x14ac:dyDescent="0.25">
      <c r="A2" s="24"/>
      <c r="B2" s="24" t="s">
        <v>398</v>
      </c>
      <c r="C2" s="24"/>
      <c r="D2" s="24"/>
      <c r="E2" s="24"/>
      <c r="F2" s="24"/>
      <c r="G2" s="24"/>
      <c r="H2" s="24"/>
    </row>
    <row r="3" spans="1:25" ht="18.75" customHeight="1" x14ac:dyDescent="0.25">
      <c r="M3" s="32" t="s">
        <v>336</v>
      </c>
      <c r="W3" s="32" t="s">
        <v>337</v>
      </c>
    </row>
    <row r="4" spans="1:25" ht="18.75" customHeight="1" x14ac:dyDescent="0.25"/>
    <row r="5" spans="1:25" ht="18.75" customHeight="1" x14ac:dyDescent="0.25"/>
    <row r="6" spans="1:25" ht="18.75" customHeight="1" x14ac:dyDescent="0.25"/>
    <row r="7" spans="1:25" ht="18.75" customHeight="1" x14ac:dyDescent="0.25">
      <c r="A7" s="21"/>
      <c r="B7" s="21" t="s">
        <v>441</v>
      </c>
      <c r="C7" s="21"/>
      <c r="D7" s="21"/>
      <c r="E7" s="21"/>
      <c r="F7" s="21"/>
      <c r="G7" s="21"/>
      <c r="H7" s="21"/>
      <c r="I7" s="21"/>
      <c r="J7" s="21"/>
      <c r="K7" s="21"/>
      <c r="L7" s="21"/>
      <c r="M7" s="21"/>
      <c r="N7" s="21"/>
      <c r="O7" s="21"/>
      <c r="P7" s="21"/>
      <c r="Q7" s="21"/>
    </row>
    <row r="8" spans="1:25" ht="18.75" customHeight="1" x14ac:dyDescent="0.25">
      <c r="A8" s="21"/>
      <c r="B8" s="21"/>
      <c r="C8" s="21"/>
      <c r="D8" s="21"/>
      <c r="E8" s="21"/>
      <c r="F8" s="21"/>
      <c r="G8" s="21"/>
      <c r="H8" s="21"/>
      <c r="I8" s="21"/>
      <c r="J8" s="21"/>
      <c r="K8" s="21"/>
      <c r="L8" s="21"/>
      <c r="M8" s="21"/>
      <c r="N8" s="21"/>
      <c r="O8" s="21"/>
      <c r="P8" s="21"/>
      <c r="Q8" s="21"/>
    </row>
    <row r="9" spans="1:25" ht="18.75" customHeight="1" x14ac:dyDescent="0.25">
      <c r="A9" s="21" t="s">
        <v>442</v>
      </c>
      <c r="B9" s="61" t="s">
        <v>468</v>
      </c>
      <c r="C9" s="21"/>
      <c r="D9" s="21"/>
      <c r="E9" s="21"/>
      <c r="F9" s="21"/>
      <c r="G9" s="21"/>
      <c r="H9" s="21"/>
      <c r="I9" s="21"/>
      <c r="J9" s="21"/>
      <c r="K9" s="21"/>
      <c r="L9" s="21"/>
      <c r="M9" s="21"/>
      <c r="N9" s="21"/>
      <c r="O9" s="21"/>
      <c r="P9" s="21"/>
      <c r="Q9" s="21"/>
      <c r="U9" s="32" t="s">
        <v>467</v>
      </c>
      <c r="V9" s="26" t="s">
        <v>471</v>
      </c>
    </row>
    <row r="10" spans="1:25" ht="18.75" customHeight="1" x14ac:dyDescent="0.25">
      <c r="A10" s="21"/>
      <c r="B10" s="21"/>
      <c r="C10" s="21"/>
      <c r="D10" s="21"/>
      <c r="E10" s="21"/>
      <c r="F10" s="21"/>
      <c r="G10" s="21" t="s">
        <v>443</v>
      </c>
      <c r="H10" s="21"/>
      <c r="I10" s="21"/>
      <c r="J10" s="21"/>
      <c r="K10" s="21"/>
      <c r="L10" s="21"/>
      <c r="M10" s="21"/>
      <c r="N10" s="21"/>
      <c r="O10" s="21"/>
      <c r="P10" s="21"/>
      <c r="Q10" s="21"/>
      <c r="V10">
        <v>1</v>
      </c>
      <c r="W10">
        <v>1</v>
      </c>
      <c r="X10">
        <v>1</v>
      </c>
      <c r="Y10">
        <v>1</v>
      </c>
    </row>
    <row r="11" spans="1:25" ht="18.75" customHeight="1" x14ac:dyDescent="0.25">
      <c r="A11" s="21"/>
      <c r="B11" s="21" t="s">
        <v>336</v>
      </c>
      <c r="C11" s="21"/>
      <c r="D11" s="21"/>
      <c r="E11" s="21"/>
      <c r="F11" s="21" t="s">
        <v>337</v>
      </c>
      <c r="G11" s="21" t="s">
        <v>437</v>
      </c>
      <c r="H11" s="21"/>
      <c r="I11" s="21"/>
      <c r="J11" s="21"/>
      <c r="K11" s="21"/>
      <c r="L11" s="21"/>
      <c r="M11" s="21"/>
      <c r="N11" s="21"/>
      <c r="O11" s="21"/>
      <c r="P11" s="21"/>
      <c r="Q11" s="21"/>
      <c r="V11">
        <v>1</v>
      </c>
      <c r="W11">
        <v>1</v>
      </c>
      <c r="X11">
        <v>2</v>
      </c>
    </row>
    <row r="12" spans="1:25" ht="18.75" customHeight="1" x14ac:dyDescent="0.25">
      <c r="A12" s="21"/>
      <c r="B12" s="21"/>
      <c r="C12" s="21"/>
      <c r="D12" s="21"/>
      <c r="E12" s="21"/>
      <c r="F12" s="21"/>
      <c r="G12" s="21"/>
      <c r="H12" s="21"/>
      <c r="I12" s="21"/>
      <c r="J12" s="21"/>
      <c r="K12" s="21"/>
      <c r="L12" s="21"/>
      <c r="M12" s="21"/>
      <c r="N12" s="21"/>
      <c r="O12" s="21"/>
      <c r="P12" s="21"/>
      <c r="Q12" s="21"/>
      <c r="V12">
        <v>1</v>
      </c>
      <c r="W12">
        <v>2</v>
      </c>
      <c r="X12">
        <v>1</v>
      </c>
    </row>
    <row r="13" spans="1:25" ht="18.75" customHeight="1" x14ac:dyDescent="0.25">
      <c r="A13" s="21"/>
      <c r="B13" s="21"/>
      <c r="C13" s="21"/>
      <c r="D13" s="21"/>
      <c r="E13" s="21"/>
      <c r="F13" s="21"/>
      <c r="G13" s="21"/>
      <c r="H13" s="21"/>
      <c r="I13" s="21"/>
      <c r="J13" s="21"/>
      <c r="K13" s="21"/>
      <c r="L13" s="21"/>
      <c r="M13" s="21"/>
      <c r="N13" s="21"/>
      <c r="O13" s="21"/>
      <c r="P13" s="21"/>
      <c r="Q13" s="21"/>
      <c r="V13">
        <v>1</v>
      </c>
      <c r="W13">
        <v>3</v>
      </c>
    </row>
    <row r="14" spans="1:25" ht="18.75" customHeight="1" x14ac:dyDescent="0.25">
      <c r="A14" s="21"/>
      <c r="B14" s="21"/>
      <c r="C14" s="21"/>
      <c r="D14" s="21"/>
      <c r="E14" s="21"/>
      <c r="F14" s="21"/>
      <c r="G14" s="21"/>
      <c r="H14" s="21"/>
      <c r="I14" s="21"/>
      <c r="J14" s="21"/>
      <c r="K14" s="21"/>
      <c r="L14" s="21"/>
      <c r="M14" s="21"/>
      <c r="N14" s="21"/>
      <c r="O14" s="21"/>
      <c r="P14" s="21"/>
      <c r="Q14" s="21"/>
      <c r="V14">
        <v>2</v>
      </c>
      <c r="W14">
        <v>1</v>
      </c>
      <c r="X14">
        <v>1</v>
      </c>
    </row>
    <row r="15" spans="1:25" ht="18.75" customHeight="1" x14ac:dyDescent="0.25">
      <c r="A15" s="21"/>
      <c r="B15" s="21"/>
      <c r="C15" s="21"/>
      <c r="D15" s="21"/>
      <c r="E15" s="21"/>
      <c r="F15" s="21"/>
      <c r="G15" s="21"/>
      <c r="H15" s="21"/>
      <c r="I15" s="21"/>
      <c r="J15" s="21"/>
      <c r="K15" s="21"/>
      <c r="L15" s="21"/>
      <c r="M15" s="21"/>
      <c r="N15" s="21"/>
      <c r="O15" s="21"/>
      <c r="P15" s="21"/>
      <c r="Q15" s="21"/>
      <c r="V15">
        <v>2</v>
      </c>
      <c r="W15">
        <v>2</v>
      </c>
    </row>
    <row r="16" spans="1:25" ht="18.75" customHeight="1" x14ac:dyDescent="0.25">
      <c r="A16" s="21" t="s">
        <v>444</v>
      </c>
      <c r="B16" s="61" t="s">
        <v>469</v>
      </c>
      <c r="C16" s="21"/>
      <c r="D16" s="21"/>
      <c r="E16" s="21"/>
      <c r="F16" s="21"/>
      <c r="G16" s="21"/>
      <c r="H16" s="21"/>
      <c r="I16" s="21" t="s">
        <v>439</v>
      </c>
      <c r="J16" s="21"/>
      <c r="K16" s="21"/>
      <c r="L16" s="21"/>
      <c r="M16" s="21"/>
      <c r="N16" s="21"/>
      <c r="O16" s="21"/>
      <c r="P16" s="21"/>
      <c r="Q16" s="21"/>
      <c r="V16">
        <v>3</v>
      </c>
      <c r="W16">
        <v>1</v>
      </c>
    </row>
    <row r="17" spans="1:22" ht="18.75" customHeight="1" x14ac:dyDescent="0.25">
      <c r="A17" s="21"/>
      <c r="B17" s="21"/>
      <c r="C17" s="21"/>
      <c r="D17" s="21"/>
      <c r="E17" s="21"/>
      <c r="F17" s="21"/>
      <c r="G17" s="21"/>
      <c r="H17" s="21"/>
      <c r="I17" s="21" t="s">
        <v>445</v>
      </c>
      <c r="J17" s="21"/>
      <c r="K17" s="21"/>
      <c r="L17" s="21"/>
      <c r="M17" s="21"/>
      <c r="N17" s="21"/>
      <c r="O17" s="21"/>
      <c r="P17" s="21"/>
      <c r="Q17" s="21"/>
      <c r="V17">
        <v>4</v>
      </c>
    </row>
    <row r="18" spans="1:22" ht="18.75" customHeight="1" x14ac:dyDescent="0.25">
      <c r="A18" s="21"/>
      <c r="B18" s="21" t="s">
        <v>336</v>
      </c>
      <c r="C18" s="21"/>
      <c r="D18" s="21"/>
      <c r="E18" s="21" t="s">
        <v>438</v>
      </c>
      <c r="F18" s="21"/>
      <c r="G18" s="21"/>
      <c r="H18" s="21" t="s">
        <v>337</v>
      </c>
      <c r="I18" s="21" t="s">
        <v>446</v>
      </c>
      <c r="J18" s="21"/>
      <c r="K18" s="21"/>
      <c r="L18" s="21"/>
      <c r="M18" s="21"/>
      <c r="N18" s="21"/>
      <c r="O18" s="21"/>
      <c r="P18" s="21"/>
      <c r="Q18" s="21"/>
      <c r="V18" s="21" t="s">
        <v>472</v>
      </c>
    </row>
    <row r="19" spans="1:22" ht="18.75" customHeight="1" x14ac:dyDescent="0.25">
      <c r="A19" s="21"/>
      <c r="B19" s="21"/>
      <c r="C19" s="21"/>
      <c r="D19" s="21"/>
      <c r="E19" s="21"/>
      <c r="F19" s="21"/>
      <c r="G19" s="21"/>
      <c r="H19" s="21"/>
      <c r="I19" s="21" t="s">
        <v>447</v>
      </c>
      <c r="J19" s="21"/>
      <c r="K19" s="21"/>
      <c r="L19" s="21"/>
      <c r="M19" s="21"/>
      <c r="N19" s="21"/>
      <c r="O19" s="21"/>
      <c r="P19" s="21"/>
      <c r="Q19" s="21"/>
      <c r="V19" s="32" t="s">
        <v>473</v>
      </c>
    </row>
    <row r="20" spans="1:22" ht="18.75" customHeight="1" x14ac:dyDescent="0.25">
      <c r="A20" s="21"/>
      <c r="B20" s="21"/>
      <c r="C20" s="21"/>
      <c r="D20" s="21"/>
      <c r="E20" s="21"/>
      <c r="F20" s="21"/>
      <c r="G20" s="21"/>
      <c r="H20" s="21"/>
      <c r="I20" s="21" t="s">
        <v>440</v>
      </c>
      <c r="J20" s="21"/>
      <c r="K20" s="21"/>
      <c r="L20" s="21"/>
      <c r="M20" s="21"/>
      <c r="N20" s="21"/>
      <c r="O20" s="21"/>
      <c r="P20" s="21"/>
      <c r="Q20" s="21"/>
    </row>
    <row r="21" spans="1:22" ht="18.75" customHeight="1" x14ac:dyDescent="0.25">
      <c r="A21" s="21"/>
      <c r="B21" s="21"/>
      <c r="C21" s="21"/>
      <c r="D21" s="21"/>
      <c r="E21" s="21"/>
      <c r="F21" s="21"/>
      <c r="G21" s="21"/>
      <c r="H21" s="21"/>
      <c r="I21" s="21" t="s">
        <v>448</v>
      </c>
      <c r="J21" s="21"/>
      <c r="K21" s="21"/>
      <c r="L21" s="21"/>
      <c r="M21" s="21"/>
      <c r="N21" s="21"/>
      <c r="O21" s="21"/>
      <c r="P21" s="21"/>
      <c r="Q21" s="21"/>
      <c r="V21" s="4" t="s">
        <v>287</v>
      </c>
    </row>
    <row r="22" spans="1:22" ht="18.75" customHeight="1" x14ac:dyDescent="0.25">
      <c r="A22" s="21"/>
      <c r="B22" s="21"/>
      <c r="C22" s="21"/>
      <c r="D22" s="21"/>
      <c r="E22" s="21"/>
      <c r="F22" s="21"/>
      <c r="G22" s="21"/>
      <c r="H22" s="21"/>
      <c r="I22" s="33" t="s">
        <v>449</v>
      </c>
      <c r="J22" s="21"/>
      <c r="K22" s="21"/>
      <c r="L22" s="21"/>
      <c r="M22" s="21"/>
      <c r="N22" s="21"/>
      <c r="O22" s="21"/>
      <c r="P22" s="21"/>
      <c r="Q22" s="21"/>
      <c r="V22" s="32" t="s">
        <v>474</v>
      </c>
    </row>
    <row r="23" spans="1:22" ht="18.75" customHeight="1" x14ac:dyDescent="0.25">
      <c r="A23" s="21"/>
      <c r="B23" s="21"/>
      <c r="C23" s="21"/>
      <c r="D23" s="21"/>
      <c r="E23" s="21"/>
      <c r="F23" s="21"/>
      <c r="G23" s="21"/>
      <c r="H23" s="21"/>
      <c r="I23" s="33"/>
      <c r="J23" s="21"/>
      <c r="K23" s="21"/>
      <c r="L23" s="21"/>
      <c r="M23" s="21"/>
      <c r="N23" s="21"/>
      <c r="O23" s="21"/>
      <c r="P23" s="21"/>
      <c r="Q23" s="21"/>
      <c r="V23" s="32" t="s">
        <v>475</v>
      </c>
    </row>
    <row r="24" spans="1:22" ht="18.75" customHeight="1" x14ac:dyDescent="0.25">
      <c r="A24" s="32" t="s">
        <v>450</v>
      </c>
      <c r="B24" s="32" t="s">
        <v>470</v>
      </c>
      <c r="V24" s="61" t="s">
        <v>476</v>
      </c>
    </row>
    <row r="25" spans="1:22" ht="18.75" customHeight="1" x14ac:dyDescent="0.25">
      <c r="J25" s="21" t="s">
        <v>452</v>
      </c>
      <c r="K25" s="21"/>
      <c r="L25" s="21"/>
      <c r="M25" s="21"/>
      <c r="N25" s="21"/>
      <c r="O25" s="21"/>
      <c r="P25" s="21"/>
      <c r="Q25" s="21"/>
      <c r="R25" s="21"/>
      <c r="V25" s="32" t="s">
        <v>477</v>
      </c>
    </row>
    <row r="26" spans="1:22" ht="18.75" customHeight="1" x14ac:dyDescent="0.25">
      <c r="B26" s="32" t="s">
        <v>336</v>
      </c>
      <c r="E26" s="32" t="s">
        <v>338</v>
      </c>
      <c r="G26" s="32" t="s">
        <v>451</v>
      </c>
      <c r="I26" s="32" t="s">
        <v>337</v>
      </c>
      <c r="J26" s="61" t="s">
        <v>453</v>
      </c>
      <c r="K26" s="21"/>
      <c r="L26" s="21"/>
      <c r="M26" s="21"/>
      <c r="N26" s="21"/>
      <c r="O26" s="21"/>
      <c r="P26" s="21"/>
      <c r="Q26" s="21"/>
      <c r="R26" s="21"/>
      <c r="V26" s="32" t="s">
        <v>478</v>
      </c>
    </row>
    <row r="27" spans="1:22" ht="18.75" customHeight="1" x14ac:dyDescent="0.25">
      <c r="J27" s="70" t="s">
        <v>462</v>
      </c>
      <c r="K27" s="71"/>
      <c r="L27" s="71"/>
      <c r="M27" s="71"/>
      <c r="N27" s="72"/>
      <c r="O27" s="73" t="s">
        <v>463</v>
      </c>
      <c r="P27" s="71"/>
      <c r="Q27" s="71"/>
      <c r="R27" s="72"/>
      <c r="V27" s="32" t="s">
        <v>479</v>
      </c>
    </row>
    <row r="28" spans="1:22" ht="18.75" customHeight="1" x14ac:dyDescent="0.25">
      <c r="J28" s="60" t="s">
        <v>454</v>
      </c>
      <c r="K28" s="50"/>
      <c r="L28" s="50"/>
      <c r="M28" s="50"/>
      <c r="N28" s="65"/>
      <c r="O28" s="69" t="s">
        <v>461</v>
      </c>
      <c r="P28" s="50"/>
      <c r="Q28" s="50"/>
      <c r="R28" s="65"/>
      <c r="S28">
        <v>216</v>
      </c>
      <c r="V28" s="32" t="s">
        <v>480</v>
      </c>
    </row>
    <row r="29" spans="1:22" ht="18.75" customHeight="1" x14ac:dyDescent="0.25">
      <c r="J29" s="60" t="s">
        <v>456</v>
      </c>
      <c r="K29" s="50"/>
      <c r="L29" s="50"/>
      <c r="M29" s="50"/>
      <c r="N29" s="65"/>
      <c r="O29" s="60" t="s">
        <v>458</v>
      </c>
      <c r="P29" s="50"/>
      <c r="Q29" s="50"/>
      <c r="R29" s="65"/>
      <c r="S29">
        <v>216</v>
      </c>
      <c r="V29" s="32" t="s">
        <v>482</v>
      </c>
    </row>
    <row r="30" spans="1:22" ht="18.75" customHeight="1" x14ac:dyDescent="0.25">
      <c r="J30" s="60" t="s">
        <v>455</v>
      </c>
      <c r="K30" s="50"/>
      <c r="L30" s="50"/>
      <c r="M30" s="50"/>
      <c r="N30" s="65"/>
      <c r="O30" s="60" t="s">
        <v>459</v>
      </c>
      <c r="P30" s="50"/>
      <c r="Q30" s="50"/>
      <c r="R30" s="65"/>
      <c r="S30">
        <v>216</v>
      </c>
      <c r="V30" s="21" t="s">
        <v>483</v>
      </c>
    </row>
    <row r="31" spans="1:22" ht="18.75" customHeight="1" x14ac:dyDescent="0.25">
      <c r="J31" s="66" t="s">
        <v>457</v>
      </c>
      <c r="K31" s="67"/>
      <c r="L31" s="67"/>
      <c r="M31" s="67"/>
      <c r="N31" s="68"/>
      <c r="O31" s="66" t="s">
        <v>460</v>
      </c>
      <c r="P31" s="67"/>
      <c r="Q31" s="67"/>
      <c r="R31" s="68"/>
      <c r="S31">
        <v>216</v>
      </c>
      <c r="V31" s="32" t="s">
        <v>484</v>
      </c>
    </row>
    <row r="32" spans="1:22" ht="18.75" customHeight="1" x14ac:dyDescent="0.25">
      <c r="J32" s="62"/>
      <c r="K32" s="50"/>
      <c r="L32" s="50"/>
      <c r="M32" s="50"/>
      <c r="N32" s="50"/>
      <c r="O32" s="62"/>
      <c r="P32" s="50"/>
      <c r="Q32" s="50"/>
      <c r="R32" s="62" t="s">
        <v>352</v>
      </c>
      <c r="S32" s="21" t="s">
        <v>466</v>
      </c>
      <c r="V32" s="32" t="s">
        <v>481</v>
      </c>
    </row>
    <row r="33" spans="1:21" ht="18.75" customHeight="1" x14ac:dyDescent="0.25"/>
    <row r="34" spans="1:21" ht="18.75" customHeight="1" x14ac:dyDescent="0.25"/>
    <row r="35" spans="1:21" ht="18.75" customHeight="1" x14ac:dyDescent="0.25">
      <c r="A35" s="32"/>
      <c r="B35" s="74" t="s">
        <v>336</v>
      </c>
      <c r="C35" s="74" t="s">
        <v>464</v>
      </c>
      <c r="D35" s="74" t="s">
        <v>338</v>
      </c>
      <c r="E35" s="74" t="s">
        <v>464</v>
      </c>
      <c r="F35" s="75" t="s">
        <v>336</v>
      </c>
      <c r="G35" s="74" t="s">
        <v>464</v>
      </c>
      <c r="H35" s="74" t="s">
        <v>338</v>
      </c>
      <c r="I35" s="74" t="s">
        <v>464</v>
      </c>
      <c r="J35" s="74" t="s">
        <v>451</v>
      </c>
      <c r="K35" s="74" t="s">
        <v>464</v>
      </c>
      <c r="L35" s="74" t="s">
        <v>338</v>
      </c>
      <c r="M35" s="74" t="s">
        <v>464</v>
      </c>
      <c r="N35" s="74" t="s">
        <v>451</v>
      </c>
      <c r="O35" s="74" t="s">
        <v>464</v>
      </c>
      <c r="P35" s="74" t="s">
        <v>337</v>
      </c>
      <c r="Q35" s="74" t="s">
        <v>464</v>
      </c>
      <c r="R35" s="74" t="s">
        <v>451</v>
      </c>
      <c r="S35" s="74" t="s">
        <v>464</v>
      </c>
      <c r="T35" s="74" t="s">
        <v>337</v>
      </c>
      <c r="U35" s="21" t="s">
        <v>465</v>
      </c>
    </row>
    <row r="36" spans="1:21" ht="18.75" customHeight="1" x14ac:dyDescent="0.25">
      <c r="C36">
        <v>3</v>
      </c>
      <c r="E36">
        <v>2</v>
      </c>
      <c r="G36">
        <v>1</v>
      </c>
      <c r="I36">
        <v>3</v>
      </c>
      <c r="K36">
        <v>2</v>
      </c>
      <c r="M36">
        <v>1</v>
      </c>
      <c r="O36">
        <v>3</v>
      </c>
      <c r="Q36">
        <v>2</v>
      </c>
      <c r="S36">
        <v>1</v>
      </c>
    </row>
    <row r="37" spans="1:21" ht="18.75" customHeight="1" x14ac:dyDescent="0.25">
      <c r="B37" s="74" t="s">
        <v>336</v>
      </c>
      <c r="C37" s="74" t="s">
        <v>464</v>
      </c>
      <c r="D37" s="74" t="s">
        <v>338</v>
      </c>
      <c r="E37" s="74" t="s">
        <v>464</v>
      </c>
      <c r="F37" s="75" t="s">
        <v>336</v>
      </c>
      <c r="G37" s="74" t="s">
        <v>464</v>
      </c>
      <c r="H37" s="74" t="s">
        <v>338</v>
      </c>
      <c r="I37" s="74" t="s">
        <v>464</v>
      </c>
      <c r="J37" s="74" t="s">
        <v>451</v>
      </c>
      <c r="K37" s="74" t="s">
        <v>464</v>
      </c>
      <c r="L37" s="75" t="s">
        <v>337</v>
      </c>
      <c r="M37" s="74" t="s">
        <v>464</v>
      </c>
      <c r="N37" s="74" t="s">
        <v>451</v>
      </c>
      <c r="O37" s="74" t="s">
        <v>464</v>
      </c>
      <c r="P37" s="75" t="s">
        <v>338</v>
      </c>
      <c r="Q37" s="74" t="s">
        <v>464</v>
      </c>
      <c r="R37" s="74" t="s">
        <v>451</v>
      </c>
      <c r="S37" s="74" t="s">
        <v>464</v>
      </c>
      <c r="T37" s="74" t="s">
        <v>337</v>
      </c>
      <c r="U37" s="21" t="s">
        <v>465</v>
      </c>
    </row>
    <row r="38" spans="1:21" ht="18.75" customHeight="1" x14ac:dyDescent="0.25">
      <c r="C38">
        <v>3</v>
      </c>
      <c r="E38">
        <v>2</v>
      </c>
      <c r="G38">
        <v>1</v>
      </c>
      <c r="I38">
        <v>3</v>
      </c>
      <c r="K38">
        <v>3</v>
      </c>
      <c r="M38">
        <v>2</v>
      </c>
      <c r="O38">
        <v>2</v>
      </c>
      <c r="Q38">
        <v>1</v>
      </c>
      <c r="S38">
        <v>1</v>
      </c>
    </row>
    <row r="39" spans="1:21" ht="18.75" customHeight="1" x14ac:dyDescent="0.25">
      <c r="B39" s="74" t="s">
        <v>336</v>
      </c>
      <c r="C39" s="74" t="s">
        <v>464</v>
      </c>
      <c r="D39" s="74" t="s">
        <v>338</v>
      </c>
      <c r="E39" s="74" t="s">
        <v>464</v>
      </c>
      <c r="F39" s="75" t="s">
        <v>451</v>
      </c>
      <c r="G39" s="74" t="s">
        <v>464</v>
      </c>
      <c r="H39" s="74" t="s">
        <v>338</v>
      </c>
      <c r="I39" s="74" t="s">
        <v>464</v>
      </c>
      <c r="J39" s="74" t="s">
        <v>336</v>
      </c>
      <c r="K39" s="74" t="s">
        <v>464</v>
      </c>
      <c r="L39" s="75" t="s">
        <v>338</v>
      </c>
      <c r="M39" s="74" t="s">
        <v>464</v>
      </c>
      <c r="N39" s="74" t="s">
        <v>451</v>
      </c>
      <c r="O39" s="74" t="s">
        <v>464</v>
      </c>
      <c r="P39" s="75" t="s">
        <v>337</v>
      </c>
      <c r="Q39" s="74" t="s">
        <v>464</v>
      </c>
      <c r="R39" s="74" t="s">
        <v>451</v>
      </c>
      <c r="S39" s="74" t="s">
        <v>464</v>
      </c>
      <c r="T39" s="74" t="s">
        <v>337</v>
      </c>
      <c r="U39" s="21" t="s">
        <v>465</v>
      </c>
    </row>
    <row r="40" spans="1:21" ht="18.75" customHeight="1" x14ac:dyDescent="0.25">
      <c r="C40">
        <v>3</v>
      </c>
      <c r="E40">
        <v>3</v>
      </c>
      <c r="G40">
        <v>2</v>
      </c>
      <c r="I40">
        <v>2</v>
      </c>
      <c r="K40">
        <v>1</v>
      </c>
      <c r="M40">
        <v>1</v>
      </c>
      <c r="O40">
        <v>3</v>
      </c>
      <c r="Q40">
        <v>2</v>
      </c>
      <c r="S40">
        <v>1</v>
      </c>
    </row>
    <row r="41" spans="1:21" ht="18.75" customHeight="1" x14ac:dyDescent="0.25">
      <c r="B41" s="74" t="s">
        <v>336</v>
      </c>
      <c r="C41" s="74" t="s">
        <v>464</v>
      </c>
      <c r="D41" s="74" t="s">
        <v>338</v>
      </c>
      <c r="E41" s="74" t="s">
        <v>464</v>
      </c>
      <c r="F41" s="75" t="s">
        <v>451</v>
      </c>
      <c r="G41" s="74" t="s">
        <v>464</v>
      </c>
      <c r="H41" s="74" t="s">
        <v>337</v>
      </c>
      <c r="I41" s="74" t="s">
        <v>464</v>
      </c>
      <c r="J41" s="74" t="s">
        <v>451</v>
      </c>
      <c r="K41" s="74" t="s">
        <v>464</v>
      </c>
      <c r="L41" s="75" t="s">
        <v>338</v>
      </c>
      <c r="M41" s="74" t="s">
        <v>464</v>
      </c>
      <c r="N41" s="74" t="s">
        <v>336</v>
      </c>
      <c r="O41" s="74" t="s">
        <v>464</v>
      </c>
      <c r="P41" s="75" t="s">
        <v>338</v>
      </c>
      <c r="Q41" s="74" t="s">
        <v>464</v>
      </c>
      <c r="R41" s="74" t="s">
        <v>451</v>
      </c>
      <c r="S41" s="74" t="s">
        <v>464</v>
      </c>
      <c r="T41" s="74" t="s">
        <v>337</v>
      </c>
      <c r="U41" s="21" t="s">
        <v>465</v>
      </c>
    </row>
    <row r="42" spans="1:21" ht="18.75" customHeight="1" x14ac:dyDescent="0.25">
      <c r="C42">
        <v>3</v>
      </c>
      <c r="E42">
        <v>3</v>
      </c>
      <c r="G42">
        <v>3</v>
      </c>
      <c r="I42">
        <v>2</v>
      </c>
      <c r="K42">
        <v>2</v>
      </c>
      <c r="M42">
        <v>2</v>
      </c>
      <c r="O42">
        <v>1</v>
      </c>
      <c r="Q42">
        <v>1</v>
      </c>
      <c r="S42">
        <v>1</v>
      </c>
    </row>
    <row r="43" spans="1:21" ht="18.75" customHeight="1" x14ac:dyDescent="0.25"/>
    <row r="44" spans="1:21" ht="18.75" customHeight="1" x14ac:dyDescent="0.25"/>
    <row r="45" spans="1:21" ht="18.75" customHeight="1" x14ac:dyDescent="0.25"/>
    <row r="46" spans="1:21" ht="18.75" customHeight="1" x14ac:dyDescent="0.25"/>
    <row r="47" spans="1:21" ht="18.75" customHeight="1" x14ac:dyDescent="0.25"/>
    <row r="48" spans="1:21"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row r="186" ht="18.75" customHeight="1" x14ac:dyDescent="0.25"/>
    <row r="187" ht="18.75" customHeight="1" x14ac:dyDescent="0.25"/>
    <row r="188" ht="18.75" customHeight="1" x14ac:dyDescent="0.25"/>
    <row r="189" ht="18.75" customHeight="1" x14ac:dyDescent="0.25"/>
    <row r="190" ht="18.75" customHeight="1" x14ac:dyDescent="0.25"/>
    <row r="191" ht="18.75" customHeight="1" x14ac:dyDescent="0.25"/>
    <row r="192" ht="18.75" customHeight="1" x14ac:dyDescent="0.25"/>
    <row r="193" ht="18.75" customHeight="1" x14ac:dyDescent="0.25"/>
    <row r="194" ht="18.75" customHeight="1" x14ac:dyDescent="0.25"/>
    <row r="195" ht="18.75" customHeight="1" x14ac:dyDescent="0.25"/>
    <row r="196" ht="18.75" customHeight="1" x14ac:dyDescent="0.25"/>
    <row r="197" ht="18.75" customHeight="1" x14ac:dyDescent="0.25"/>
    <row r="198" ht="18.75" customHeight="1" x14ac:dyDescent="0.25"/>
    <row r="199" ht="18.75" customHeight="1" x14ac:dyDescent="0.25"/>
    <row r="200" ht="18.75" customHeight="1" x14ac:dyDescent="0.25"/>
    <row r="201" ht="18.75" customHeight="1" x14ac:dyDescent="0.25"/>
    <row r="202" ht="18.75" customHeight="1" x14ac:dyDescent="0.25"/>
    <row r="203" ht="18.75" customHeight="1" x14ac:dyDescent="0.25"/>
    <row r="204" ht="18.75" customHeight="1" x14ac:dyDescent="0.25"/>
    <row r="205" ht="18.75" customHeight="1" x14ac:dyDescent="0.25"/>
    <row r="206" ht="18.75" customHeight="1" x14ac:dyDescent="0.25"/>
    <row r="207" ht="18.75" customHeight="1" x14ac:dyDescent="0.25"/>
    <row r="208"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6" ht="18.75" customHeight="1" x14ac:dyDescent="0.25"/>
    <row r="227" ht="18.75" customHeight="1" x14ac:dyDescent="0.25"/>
    <row r="228" ht="18.75" customHeight="1" x14ac:dyDescent="0.25"/>
    <row r="229" ht="18.75" customHeight="1" x14ac:dyDescent="0.25"/>
    <row r="230" ht="18.75" customHeight="1" x14ac:dyDescent="0.25"/>
    <row r="231" ht="18.75" customHeight="1" x14ac:dyDescent="0.25"/>
    <row r="232" ht="18.75" customHeight="1" x14ac:dyDescent="0.25"/>
    <row r="233" ht="18.75" customHeight="1" x14ac:dyDescent="0.25"/>
    <row r="234" ht="18.75" customHeight="1" x14ac:dyDescent="0.25"/>
    <row r="235" ht="18.75" customHeight="1" x14ac:dyDescent="0.25"/>
    <row r="236" ht="18.75" customHeight="1" x14ac:dyDescent="0.25"/>
    <row r="237" ht="18.75" customHeight="1" x14ac:dyDescent="0.25"/>
    <row r="238" ht="18.75" customHeight="1" x14ac:dyDescent="0.25"/>
    <row r="239" ht="18.75" customHeight="1" x14ac:dyDescent="0.25"/>
    <row r="240" ht="18.75" customHeight="1" x14ac:dyDescent="0.25"/>
    <row r="241" ht="18.75" customHeight="1" x14ac:dyDescent="0.25"/>
    <row r="242" ht="18.75" customHeight="1" x14ac:dyDescent="0.25"/>
    <row r="243" ht="18.75" customHeight="1" x14ac:dyDescent="0.25"/>
    <row r="244" ht="18.75" customHeight="1" x14ac:dyDescent="0.25"/>
    <row r="245" ht="18.75" customHeight="1" x14ac:dyDescent="0.25"/>
    <row r="246" ht="18.75" customHeight="1" x14ac:dyDescent="0.25"/>
    <row r="247" ht="18.75" customHeight="1" x14ac:dyDescent="0.25"/>
    <row r="248" ht="18.75" customHeight="1" x14ac:dyDescent="0.25"/>
    <row r="249" ht="18.75" customHeight="1" x14ac:dyDescent="0.25"/>
    <row r="250" ht="18.75" customHeight="1" x14ac:dyDescent="0.25"/>
    <row r="251" ht="18.75" customHeight="1" x14ac:dyDescent="0.25"/>
    <row r="252" ht="18.75" customHeight="1" x14ac:dyDescent="0.25"/>
    <row r="253" ht="18.75" customHeight="1" x14ac:dyDescent="0.25"/>
    <row r="254" ht="18.75" customHeight="1" x14ac:dyDescent="0.25"/>
    <row r="255" ht="18.75" customHeight="1" x14ac:dyDescent="0.25"/>
    <row r="256" ht="18.75" customHeight="1" x14ac:dyDescent="0.25"/>
    <row r="257" ht="18.75" customHeight="1" x14ac:dyDescent="0.25"/>
    <row r="258" ht="18.75" customHeight="1" x14ac:dyDescent="0.25"/>
    <row r="259" ht="18.75" customHeight="1" x14ac:dyDescent="0.25"/>
    <row r="260" ht="18.75" customHeight="1" x14ac:dyDescent="0.25"/>
    <row r="261" ht="18.75" customHeight="1" x14ac:dyDescent="0.25"/>
    <row r="262" ht="18.75" customHeight="1" x14ac:dyDescent="0.25"/>
    <row r="263" ht="18.75" customHeight="1" x14ac:dyDescent="0.25"/>
    <row r="264" ht="18.75" customHeight="1" x14ac:dyDescent="0.25"/>
    <row r="265" ht="18.75" customHeight="1" x14ac:dyDescent="0.25"/>
    <row r="266" ht="18.75" customHeight="1" x14ac:dyDescent="0.25"/>
    <row r="267" ht="18.75" customHeight="1" x14ac:dyDescent="0.25"/>
    <row r="268" ht="18.75" customHeight="1" x14ac:dyDescent="0.25"/>
    <row r="269" ht="18.75" customHeight="1" x14ac:dyDescent="0.25"/>
    <row r="270" ht="18.75" customHeight="1" x14ac:dyDescent="0.25"/>
    <row r="271" ht="18.75" customHeight="1" x14ac:dyDescent="0.25"/>
    <row r="272" ht="18.75" customHeight="1" x14ac:dyDescent="0.25"/>
    <row r="273" ht="18.75" customHeight="1" x14ac:dyDescent="0.25"/>
    <row r="274" ht="18.75" customHeight="1" x14ac:dyDescent="0.25"/>
    <row r="275" ht="18.75" customHeight="1" x14ac:dyDescent="0.25"/>
    <row r="276" ht="18.75" customHeight="1" x14ac:dyDescent="0.25"/>
    <row r="277" ht="18.75" customHeight="1" x14ac:dyDescent="0.25"/>
    <row r="278" ht="18.75" customHeight="1" x14ac:dyDescent="0.25"/>
    <row r="279" ht="18.75" customHeight="1" x14ac:dyDescent="0.25"/>
    <row r="280" ht="18.75" customHeight="1" x14ac:dyDescent="0.25"/>
    <row r="281" ht="18.75" customHeight="1" x14ac:dyDescent="0.25"/>
    <row r="282" ht="18.75" customHeight="1" x14ac:dyDescent="0.25"/>
    <row r="283" ht="18.75" customHeight="1" x14ac:dyDescent="0.25"/>
    <row r="284" ht="18.75" customHeight="1" x14ac:dyDescent="0.25"/>
    <row r="285" ht="18.75" customHeight="1" x14ac:dyDescent="0.25"/>
    <row r="286" ht="18.75" customHeight="1" x14ac:dyDescent="0.25"/>
    <row r="287" ht="18.75" customHeight="1" x14ac:dyDescent="0.25"/>
    <row r="288" ht="18.75" customHeight="1" x14ac:dyDescent="0.25"/>
    <row r="289" ht="18.75" customHeight="1" x14ac:dyDescent="0.25"/>
    <row r="290" ht="18.75" customHeight="1" x14ac:dyDescent="0.25"/>
    <row r="291" ht="18.75" customHeight="1" x14ac:dyDescent="0.25"/>
    <row r="292" ht="18.75" customHeight="1" x14ac:dyDescent="0.25"/>
    <row r="293" ht="18.75" customHeight="1" x14ac:dyDescent="0.25"/>
    <row r="294" ht="18.75" customHeight="1" x14ac:dyDescent="0.25"/>
    <row r="295" ht="18.75" customHeight="1" x14ac:dyDescent="0.25"/>
    <row r="296" ht="18.75" customHeight="1" x14ac:dyDescent="0.25"/>
    <row r="297" ht="18.75" customHeight="1" x14ac:dyDescent="0.25"/>
    <row r="298" ht="18.75" customHeight="1" x14ac:dyDescent="0.25"/>
    <row r="299" ht="18.75" customHeight="1" x14ac:dyDescent="0.25"/>
    <row r="300" ht="18.75" customHeight="1" x14ac:dyDescent="0.25"/>
    <row r="301" ht="18.75" customHeight="1" x14ac:dyDescent="0.25"/>
    <row r="302" ht="18.75" customHeight="1" x14ac:dyDescent="0.25"/>
    <row r="303" ht="18.75" customHeight="1" x14ac:dyDescent="0.25"/>
    <row r="304" ht="18.75" customHeight="1" x14ac:dyDescent="0.25"/>
    <row r="305" ht="18.75" customHeight="1" x14ac:dyDescent="0.25"/>
    <row r="306" ht="18.75" customHeight="1" x14ac:dyDescent="0.25"/>
    <row r="307" ht="18.75" customHeight="1" x14ac:dyDescent="0.25"/>
    <row r="308" ht="18.75" customHeight="1" x14ac:dyDescent="0.25"/>
    <row r="309" ht="18.75" customHeight="1" x14ac:dyDescent="0.25"/>
    <row r="310" ht="18.75" customHeight="1" x14ac:dyDescent="0.25"/>
    <row r="311" ht="18.75" customHeight="1" x14ac:dyDescent="0.25"/>
    <row r="312" ht="18.75" customHeight="1" x14ac:dyDescent="0.25"/>
    <row r="313" ht="18.75" customHeight="1" x14ac:dyDescent="0.25"/>
    <row r="314" ht="18.75" customHeight="1" x14ac:dyDescent="0.25"/>
    <row r="315" ht="18.75" customHeight="1" x14ac:dyDescent="0.25"/>
    <row r="316" ht="18.75" customHeight="1" x14ac:dyDescent="0.25"/>
    <row r="317" ht="18.75" customHeight="1" x14ac:dyDescent="0.25"/>
    <row r="318" ht="18.75" customHeight="1" x14ac:dyDescent="0.25"/>
    <row r="319" ht="18.75" customHeight="1" x14ac:dyDescent="0.25"/>
    <row r="320" ht="18.75" customHeight="1" x14ac:dyDescent="0.25"/>
    <row r="321" ht="18.75" customHeight="1" x14ac:dyDescent="0.25"/>
    <row r="322" ht="18.75" customHeight="1" x14ac:dyDescent="0.25"/>
    <row r="323" ht="18.75" customHeight="1" x14ac:dyDescent="0.25"/>
    <row r="324" ht="18.75" customHeight="1" x14ac:dyDescent="0.25"/>
    <row r="325" ht="18.75" customHeight="1" x14ac:dyDescent="0.25"/>
    <row r="326" ht="18.75" customHeight="1" x14ac:dyDescent="0.25"/>
    <row r="327" ht="18.75" customHeight="1" x14ac:dyDescent="0.25"/>
    <row r="328" ht="18.75" customHeight="1" x14ac:dyDescent="0.25"/>
    <row r="329" ht="18.75" customHeight="1" x14ac:dyDescent="0.25"/>
    <row r="330" ht="18.75" customHeight="1" x14ac:dyDescent="0.25"/>
    <row r="331" ht="18.75" customHeight="1" x14ac:dyDescent="0.25"/>
    <row r="332" ht="18.75" customHeight="1" x14ac:dyDescent="0.25"/>
    <row r="333" ht="18.75" customHeight="1" x14ac:dyDescent="0.25"/>
    <row r="334" ht="18.75" customHeight="1" x14ac:dyDescent="0.25"/>
    <row r="335" ht="18.75" customHeight="1" x14ac:dyDescent="0.25"/>
    <row r="336" ht="18.75" customHeight="1" x14ac:dyDescent="0.25"/>
    <row r="337" ht="18.75" customHeight="1" x14ac:dyDescent="0.25"/>
    <row r="338" ht="18.75" customHeight="1" x14ac:dyDescent="0.25"/>
    <row r="339" ht="18.75" customHeight="1" x14ac:dyDescent="0.25"/>
    <row r="340" ht="18.75" customHeight="1" x14ac:dyDescent="0.25"/>
    <row r="341" ht="18.75" customHeight="1" x14ac:dyDescent="0.25"/>
    <row r="342" ht="18.75" customHeight="1" x14ac:dyDescent="0.25"/>
    <row r="343" ht="18.75" customHeight="1" x14ac:dyDescent="0.25"/>
    <row r="344" ht="18.75" customHeight="1" x14ac:dyDescent="0.25"/>
    <row r="345" ht="18.75" customHeight="1" x14ac:dyDescent="0.25"/>
    <row r="346" ht="18.75" customHeight="1" x14ac:dyDescent="0.25"/>
    <row r="347" ht="18.75" customHeight="1" x14ac:dyDescent="0.25"/>
    <row r="348" ht="18.75" customHeight="1" x14ac:dyDescent="0.25"/>
    <row r="349" ht="18.75" customHeight="1" x14ac:dyDescent="0.25"/>
    <row r="350" ht="18.75" customHeight="1" x14ac:dyDescent="0.25"/>
    <row r="351" ht="18.75" customHeight="1" x14ac:dyDescent="0.25"/>
    <row r="352" ht="18.75" customHeight="1" x14ac:dyDescent="0.25"/>
    <row r="353" ht="18.75" customHeight="1" x14ac:dyDescent="0.25"/>
    <row r="354" ht="18.75" customHeight="1" x14ac:dyDescent="0.25"/>
    <row r="355" ht="18.75" customHeight="1" x14ac:dyDescent="0.25"/>
    <row r="356" ht="18.75" customHeight="1" x14ac:dyDescent="0.25"/>
    <row r="357" ht="18.75" customHeight="1" x14ac:dyDescent="0.25"/>
    <row r="358" ht="18.75" customHeight="1" x14ac:dyDescent="0.25"/>
    <row r="359" ht="18.75" customHeight="1" x14ac:dyDescent="0.25"/>
    <row r="360" ht="18.75" customHeight="1" x14ac:dyDescent="0.25"/>
    <row r="361" ht="18.75" customHeight="1" x14ac:dyDescent="0.25"/>
    <row r="362" ht="18.75" customHeight="1" x14ac:dyDescent="0.25"/>
    <row r="363" ht="18.75" customHeight="1" x14ac:dyDescent="0.25"/>
    <row r="364" ht="18.75" customHeight="1" x14ac:dyDescent="0.25"/>
    <row r="365" ht="18.75" customHeight="1" x14ac:dyDescent="0.25"/>
    <row r="366" ht="18.75" customHeight="1" x14ac:dyDescent="0.25"/>
    <row r="367" ht="18.75" customHeight="1" x14ac:dyDescent="0.25"/>
    <row r="368" ht="18.75" customHeight="1" x14ac:dyDescent="0.25"/>
    <row r="369" ht="18.75" customHeight="1" x14ac:dyDescent="0.25"/>
    <row r="370" ht="18.75" customHeight="1" x14ac:dyDescent="0.25"/>
    <row r="371" ht="18.75" customHeight="1" x14ac:dyDescent="0.25"/>
    <row r="372" ht="18.75" customHeight="1" x14ac:dyDescent="0.25"/>
    <row r="373" ht="18.75" customHeight="1" x14ac:dyDescent="0.25"/>
    <row r="374" ht="18.75" customHeight="1" x14ac:dyDescent="0.25"/>
    <row r="375" ht="18.75" customHeight="1" x14ac:dyDescent="0.25"/>
    <row r="376" ht="18.75" customHeight="1" x14ac:dyDescent="0.25"/>
    <row r="377" ht="18.75" customHeight="1" x14ac:dyDescent="0.25"/>
    <row r="378" ht="18.75" customHeight="1" x14ac:dyDescent="0.25"/>
    <row r="379" ht="18.75" customHeight="1" x14ac:dyDescent="0.25"/>
    <row r="380" ht="18.75" customHeight="1" x14ac:dyDescent="0.25"/>
    <row r="381" ht="18.75" customHeight="1" x14ac:dyDescent="0.25"/>
    <row r="382" ht="18.75" customHeight="1" x14ac:dyDescent="0.25"/>
    <row r="383" ht="18.75" customHeight="1" x14ac:dyDescent="0.25"/>
    <row r="384" ht="18.75" customHeight="1" x14ac:dyDescent="0.25"/>
    <row r="385" ht="18.75" customHeight="1" x14ac:dyDescent="0.25"/>
    <row r="386" ht="18.75" customHeight="1" x14ac:dyDescent="0.25"/>
    <row r="387" ht="18.75" customHeight="1" x14ac:dyDescent="0.25"/>
    <row r="388" ht="18.75" customHeight="1" x14ac:dyDescent="0.25"/>
    <row r="389" ht="18.75" customHeight="1" x14ac:dyDescent="0.25"/>
    <row r="390" ht="18.75" customHeight="1" x14ac:dyDescent="0.25"/>
    <row r="391" ht="18.75" customHeight="1" x14ac:dyDescent="0.25"/>
    <row r="392" ht="18.75" customHeight="1" x14ac:dyDescent="0.25"/>
    <row r="393" ht="18.75" customHeight="1" x14ac:dyDescent="0.25"/>
    <row r="394" ht="18.75" customHeight="1" x14ac:dyDescent="0.25"/>
    <row r="395" ht="18.75" customHeight="1" x14ac:dyDescent="0.25"/>
    <row r="396" ht="18.75" customHeight="1" x14ac:dyDescent="0.25"/>
    <row r="397" ht="18.75" customHeight="1" x14ac:dyDescent="0.25"/>
    <row r="398" ht="18.75" customHeight="1" x14ac:dyDescent="0.25"/>
    <row r="399" ht="18.75" customHeight="1" x14ac:dyDescent="0.25"/>
    <row r="400" ht="18.75" customHeight="1" x14ac:dyDescent="0.25"/>
    <row r="401" ht="18.75" customHeight="1" x14ac:dyDescent="0.25"/>
    <row r="402" ht="18.75" customHeight="1" x14ac:dyDescent="0.25"/>
    <row r="403" ht="18.75" customHeight="1" x14ac:dyDescent="0.25"/>
    <row r="404" ht="18.75" customHeight="1" x14ac:dyDescent="0.25"/>
    <row r="405" ht="18.75" customHeight="1" x14ac:dyDescent="0.25"/>
    <row r="406" ht="18.75" customHeight="1" x14ac:dyDescent="0.25"/>
    <row r="407" ht="18.75" customHeight="1" x14ac:dyDescent="0.25"/>
    <row r="408" ht="18.75" customHeight="1" x14ac:dyDescent="0.25"/>
    <row r="409" ht="18.75" customHeight="1" x14ac:dyDescent="0.25"/>
    <row r="410" ht="18.75" customHeight="1" x14ac:dyDescent="0.25"/>
    <row r="411" ht="18.75" customHeight="1" x14ac:dyDescent="0.25"/>
    <row r="412" ht="18.75" customHeight="1" x14ac:dyDescent="0.25"/>
    <row r="413" ht="18.75" customHeight="1" x14ac:dyDescent="0.25"/>
    <row r="414" ht="18.75" customHeight="1" x14ac:dyDescent="0.25"/>
    <row r="415" ht="18.75" customHeight="1" x14ac:dyDescent="0.25"/>
    <row r="416" ht="18.75" customHeight="1" x14ac:dyDescent="0.25"/>
    <row r="417" ht="18.75" customHeight="1" x14ac:dyDescent="0.25"/>
    <row r="418" ht="18.75" customHeight="1" x14ac:dyDescent="0.25"/>
    <row r="419" ht="18.75" customHeight="1" x14ac:dyDescent="0.25"/>
    <row r="420" ht="18.75" customHeight="1" x14ac:dyDescent="0.25"/>
    <row r="421" ht="18.75" customHeight="1" x14ac:dyDescent="0.25"/>
    <row r="422" ht="18.75" customHeight="1" x14ac:dyDescent="0.25"/>
    <row r="423" ht="18.75" customHeight="1" x14ac:dyDescent="0.25"/>
    <row r="424" ht="18.75" customHeight="1" x14ac:dyDescent="0.25"/>
    <row r="425" ht="18.75" customHeight="1" x14ac:dyDescent="0.25"/>
    <row r="426" ht="18.75" customHeight="1" x14ac:dyDescent="0.25"/>
    <row r="427" ht="18.75" customHeight="1" x14ac:dyDescent="0.25"/>
    <row r="428" ht="18.75" customHeight="1" x14ac:dyDescent="0.25"/>
    <row r="429" ht="18.75" customHeight="1" x14ac:dyDescent="0.25"/>
    <row r="430" ht="18.75" customHeight="1" x14ac:dyDescent="0.25"/>
    <row r="431" ht="18.75" customHeight="1" x14ac:dyDescent="0.25"/>
    <row r="432" ht="18.75" customHeight="1" x14ac:dyDescent="0.25"/>
    <row r="433" ht="18.75" customHeight="1" x14ac:dyDescent="0.25"/>
    <row r="434" ht="18.75" customHeight="1" x14ac:dyDescent="0.25"/>
    <row r="435" ht="18.75" customHeight="1" x14ac:dyDescent="0.25"/>
    <row r="436" ht="18.75" customHeight="1" x14ac:dyDescent="0.25"/>
    <row r="437" ht="18.75" customHeight="1" x14ac:dyDescent="0.25"/>
    <row r="438" ht="18.75" customHeight="1" x14ac:dyDescent="0.25"/>
    <row r="439" ht="18.75" customHeight="1" x14ac:dyDescent="0.25"/>
    <row r="440" ht="18.75" customHeight="1" x14ac:dyDescent="0.25"/>
    <row r="441" ht="18.75" customHeight="1" x14ac:dyDescent="0.25"/>
    <row r="442" ht="18.75" customHeight="1" x14ac:dyDescent="0.25"/>
    <row r="443" ht="18.75" customHeight="1" x14ac:dyDescent="0.25"/>
    <row r="444" ht="18.75" customHeight="1" x14ac:dyDescent="0.25"/>
    <row r="445" ht="18.75" customHeight="1" x14ac:dyDescent="0.25"/>
    <row r="446" ht="18.75" customHeight="1" x14ac:dyDescent="0.25"/>
    <row r="447" ht="18.75" customHeight="1" x14ac:dyDescent="0.25"/>
    <row r="448" ht="18.75" customHeight="1" x14ac:dyDescent="0.25"/>
    <row r="449" ht="18.75" customHeight="1" x14ac:dyDescent="0.25"/>
    <row r="450" ht="18.75" customHeight="1" x14ac:dyDescent="0.25"/>
    <row r="451" ht="18.75" customHeight="1" x14ac:dyDescent="0.25"/>
    <row r="452" ht="18.75" customHeight="1" x14ac:dyDescent="0.25"/>
    <row r="453" ht="18.75" customHeight="1" x14ac:dyDescent="0.25"/>
    <row r="454" ht="18.75" customHeight="1" x14ac:dyDescent="0.25"/>
    <row r="455" ht="18.75" customHeight="1" x14ac:dyDescent="0.25"/>
    <row r="456" ht="18.75" customHeight="1" x14ac:dyDescent="0.25"/>
    <row r="457" ht="18.75" customHeight="1" x14ac:dyDescent="0.25"/>
    <row r="458" ht="18.75" customHeight="1" x14ac:dyDescent="0.25"/>
    <row r="459" ht="18.75" customHeight="1" x14ac:dyDescent="0.25"/>
    <row r="460" ht="18.75" customHeight="1" x14ac:dyDescent="0.25"/>
    <row r="461" ht="18.75" customHeight="1" x14ac:dyDescent="0.25"/>
    <row r="462" ht="18.75" customHeight="1" x14ac:dyDescent="0.25"/>
    <row r="463" ht="18.75" customHeight="1" x14ac:dyDescent="0.25"/>
    <row r="464" ht="18.75" customHeight="1" x14ac:dyDescent="0.25"/>
    <row r="465" ht="18.75" customHeight="1" x14ac:dyDescent="0.25"/>
    <row r="466" ht="18.75" customHeight="1" x14ac:dyDescent="0.25"/>
    <row r="467" ht="18.75" customHeight="1" x14ac:dyDescent="0.25"/>
    <row r="468" ht="18.75" customHeight="1" x14ac:dyDescent="0.25"/>
    <row r="469" ht="18.75" customHeight="1" x14ac:dyDescent="0.25"/>
    <row r="470" ht="18.75" customHeight="1" x14ac:dyDescent="0.25"/>
    <row r="471" ht="18.75" customHeight="1" x14ac:dyDescent="0.25"/>
    <row r="472" ht="18.75" customHeight="1" x14ac:dyDescent="0.25"/>
    <row r="473" ht="18.75" customHeight="1" x14ac:dyDescent="0.25"/>
    <row r="474" ht="18.75" customHeight="1" x14ac:dyDescent="0.25"/>
    <row r="475" ht="18.75" customHeight="1" x14ac:dyDescent="0.25"/>
    <row r="476" ht="18.75" customHeight="1" x14ac:dyDescent="0.25"/>
    <row r="477" ht="18.75" customHeight="1" x14ac:dyDescent="0.25"/>
    <row r="478" ht="18.75" customHeight="1" x14ac:dyDescent="0.25"/>
    <row r="479" ht="18.75" customHeight="1" x14ac:dyDescent="0.25"/>
    <row r="480" ht="18.75" customHeight="1" x14ac:dyDescent="0.25"/>
    <row r="481" ht="18.75" customHeight="1" x14ac:dyDescent="0.25"/>
    <row r="482" ht="18.75" customHeight="1" x14ac:dyDescent="0.25"/>
    <row r="483" ht="18.75" customHeight="1" x14ac:dyDescent="0.25"/>
    <row r="484" ht="18.75" customHeight="1" x14ac:dyDescent="0.25"/>
    <row r="485" ht="18.75" customHeight="1" x14ac:dyDescent="0.25"/>
    <row r="486" ht="18.75" customHeight="1" x14ac:dyDescent="0.25"/>
    <row r="487" ht="18.75" customHeight="1" x14ac:dyDescent="0.25"/>
    <row r="488" ht="18.75" customHeight="1" x14ac:dyDescent="0.25"/>
    <row r="489" ht="18.75" customHeight="1" x14ac:dyDescent="0.25"/>
    <row r="490" ht="18.75" customHeight="1" x14ac:dyDescent="0.25"/>
    <row r="491" ht="18.75" customHeight="1" x14ac:dyDescent="0.25"/>
    <row r="492" ht="18.75" customHeight="1" x14ac:dyDescent="0.25"/>
    <row r="493" ht="18.75" customHeight="1" x14ac:dyDescent="0.25"/>
    <row r="494" ht="18.75" customHeight="1" x14ac:dyDescent="0.25"/>
    <row r="495" ht="18.75" customHeight="1" x14ac:dyDescent="0.25"/>
    <row r="496" ht="18.75" customHeight="1" x14ac:dyDescent="0.25"/>
    <row r="497" ht="18.75" customHeight="1" x14ac:dyDescent="0.25"/>
    <row r="498" ht="18.75" customHeight="1" x14ac:dyDescent="0.25"/>
    <row r="499" ht="18.75" customHeight="1" x14ac:dyDescent="0.25"/>
    <row r="500" ht="18.75" customHeight="1" x14ac:dyDescent="0.25"/>
    <row r="501" ht="18.75" customHeight="1" x14ac:dyDescent="0.25"/>
    <row r="502" ht="18.75" customHeight="1" x14ac:dyDescent="0.25"/>
    <row r="503" ht="18.75" customHeight="1" x14ac:dyDescent="0.25"/>
    <row r="504" ht="18.75" customHeight="1" x14ac:dyDescent="0.25"/>
    <row r="505" ht="18.75" customHeight="1" x14ac:dyDescent="0.25"/>
    <row r="506" ht="18.75" customHeight="1" x14ac:dyDescent="0.25"/>
    <row r="507" ht="18.75" customHeight="1" x14ac:dyDescent="0.25"/>
    <row r="508" ht="18.75" customHeight="1" x14ac:dyDescent="0.25"/>
    <row r="509" ht="18.75" customHeight="1" x14ac:dyDescent="0.25"/>
    <row r="510" ht="18.75" customHeight="1" x14ac:dyDescent="0.25"/>
    <row r="511" ht="18.75" customHeight="1" x14ac:dyDescent="0.25"/>
    <row r="512" ht="18.75" customHeight="1" x14ac:dyDescent="0.25"/>
    <row r="513" ht="18.75" customHeight="1" x14ac:dyDescent="0.25"/>
    <row r="514" ht="18.75" customHeight="1" x14ac:dyDescent="0.25"/>
    <row r="515" ht="18.75" customHeight="1" x14ac:dyDescent="0.25"/>
    <row r="516" ht="18.75" customHeight="1" x14ac:dyDescent="0.25"/>
    <row r="517" ht="18.75" customHeight="1" x14ac:dyDescent="0.25"/>
    <row r="518" ht="18.75" customHeight="1" x14ac:dyDescent="0.25"/>
    <row r="519" ht="18.75" customHeight="1" x14ac:dyDescent="0.25"/>
    <row r="520" ht="18.75" customHeight="1" x14ac:dyDescent="0.25"/>
    <row r="521" ht="18.75" customHeight="1" x14ac:dyDescent="0.25"/>
    <row r="522" ht="18.75" customHeight="1" x14ac:dyDescent="0.25"/>
    <row r="523" ht="18.75" customHeight="1" x14ac:dyDescent="0.25"/>
    <row r="524" ht="18.75" customHeight="1" x14ac:dyDescent="0.25"/>
    <row r="525" ht="18.75" customHeight="1" x14ac:dyDescent="0.25"/>
    <row r="526" ht="18.75" customHeight="1" x14ac:dyDescent="0.25"/>
    <row r="527" ht="18.75" customHeight="1" x14ac:dyDescent="0.25"/>
    <row r="528" ht="18.75" customHeight="1" x14ac:dyDescent="0.25"/>
    <row r="529" ht="18.75" customHeight="1" x14ac:dyDescent="0.25"/>
    <row r="530" ht="18.75" customHeight="1" x14ac:dyDescent="0.25"/>
    <row r="531" ht="18.75" customHeight="1" x14ac:dyDescent="0.25"/>
    <row r="532" ht="18.75" customHeight="1" x14ac:dyDescent="0.25"/>
    <row r="533" ht="18.75" customHeight="1" x14ac:dyDescent="0.25"/>
    <row r="534" ht="18.75" customHeight="1" x14ac:dyDescent="0.25"/>
    <row r="535" ht="18.75" customHeight="1" x14ac:dyDescent="0.25"/>
    <row r="536" ht="18.75" customHeight="1" x14ac:dyDescent="0.25"/>
    <row r="537" ht="18.75" customHeight="1" x14ac:dyDescent="0.25"/>
    <row r="538" ht="18.75" customHeight="1" x14ac:dyDescent="0.25"/>
    <row r="539" ht="18.75" customHeight="1" x14ac:dyDescent="0.25"/>
    <row r="540" ht="18.75" customHeight="1" x14ac:dyDescent="0.25"/>
    <row r="541" ht="18.75" customHeight="1" x14ac:dyDescent="0.25"/>
    <row r="542" ht="18.75" customHeight="1" x14ac:dyDescent="0.25"/>
    <row r="543" ht="18.75" customHeight="1" x14ac:dyDescent="0.25"/>
    <row r="544" ht="18.75" customHeight="1" x14ac:dyDescent="0.25"/>
    <row r="545" ht="18.75" customHeight="1" x14ac:dyDescent="0.25"/>
    <row r="546" ht="18.75" customHeight="1" x14ac:dyDescent="0.25"/>
    <row r="547" ht="18.75" customHeight="1" x14ac:dyDescent="0.25"/>
    <row r="548" ht="18.75" customHeight="1" x14ac:dyDescent="0.25"/>
    <row r="549" ht="18.75" customHeight="1" x14ac:dyDescent="0.25"/>
    <row r="550" ht="18.75" customHeight="1" x14ac:dyDescent="0.25"/>
    <row r="551" ht="18.75" customHeight="1" x14ac:dyDescent="0.25"/>
    <row r="552" ht="18.75" customHeight="1" x14ac:dyDescent="0.25"/>
    <row r="553" ht="18.75" customHeight="1" x14ac:dyDescent="0.25"/>
    <row r="554" ht="18.75" customHeight="1" x14ac:dyDescent="0.25"/>
    <row r="555" ht="18.75" customHeight="1" x14ac:dyDescent="0.25"/>
    <row r="556" ht="18.75" customHeight="1" x14ac:dyDescent="0.25"/>
    <row r="557" ht="18.75" customHeight="1" x14ac:dyDescent="0.25"/>
    <row r="558" ht="18.75" customHeight="1" x14ac:dyDescent="0.25"/>
    <row r="559" ht="18.75" customHeight="1" x14ac:dyDescent="0.25"/>
    <row r="560" ht="18.75" customHeight="1" x14ac:dyDescent="0.25"/>
    <row r="561" ht="18.75" customHeight="1" x14ac:dyDescent="0.25"/>
    <row r="562" ht="18.75" customHeight="1" x14ac:dyDescent="0.25"/>
    <row r="563" ht="18.75" customHeight="1" x14ac:dyDescent="0.25"/>
    <row r="564" ht="18.75" customHeight="1" x14ac:dyDescent="0.25"/>
    <row r="565" ht="18.75" customHeight="1" x14ac:dyDescent="0.25"/>
    <row r="566" ht="18.75" customHeight="1" x14ac:dyDescent="0.25"/>
    <row r="567" ht="18.75" customHeight="1" x14ac:dyDescent="0.25"/>
    <row r="568" ht="18.75" customHeight="1" x14ac:dyDescent="0.25"/>
    <row r="569" ht="18.75" customHeight="1" x14ac:dyDescent="0.25"/>
    <row r="570" ht="18.75" customHeight="1" x14ac:dyDescent="0.25"/>
    <row r="571" ht="18.75" customHeight="1" x14ac:dyDescent="0.25"/>
    <row r="572" ht="18.75" customHeight="1" x14ac:dyDescent="0.25"/>
    <row r="573" ht="18.75" customHeight="1" x14ac:dyDescent="0.25"/>
    <row r="574" ht="18.75" customHeight="1" x14ac:dyDescent="0.25"/>
    <row r="575" ht="18.75" customHeight="1" x14ac:dyDescent="0.25"/>
    <row r="576" ht="18.75" customHeight="1" x14ac:dyDescent="0.25"/>
    <row r="577" ht="18.75" customHeight="1" x14ac:dyDescent="0.25"/>
    <row r="578" ht="18.75" customHeight="1" x14ac:dyDescent="0.25"/>
    <row r="579" ht="18.75" customHeight="1" x14ac:dyDescent="0.25"/>
    <row r="580" ht="18.75" customHeight="1" x14ac:dyDescent="0.25"/>
    <row r="581" ht="18.75" customHeight="1" x14ac:dyDescent="0.25"/>
    <row r="582" ht="18.75" customHeight="1" x14ac:dyDescent="0.25"/>
    <row r="583" ht="18.75" customHeight="1" x14ac:dyDescent="0.25"/>
    <row r="584" ht="18.75" customHeight="1" x14ac:dyDescent="0.25"/>
    <row r="585" ht="18.75" customHeight="1" x14ac:dyDescent="0.25"/>
    <row r="586" ht="18.75" customHeight="1" x14ac:dyDescent="0.25"/>
    <row r="587" ht="18.75" customHeight="1" x14ac:dyDescent="0.25"/>
    <row r="588" ht="18.75" customHeight="1" x14ac:dyDescent="0.25"/>
    <row r="589" ht="18.75" customHeight="1" x14ac:dyDescent="0.25"/>
    <row r="590" ht="18.75" customHeight="1" x14ac:dyDescent="0.25"/>
    <row r="591" ht="18.75" customHeight="1" x14ac:dyDescent="0.25"/>
    <row r="592" ht="18.75" customHeight="1" x14ac:dyDescent="0.25"/>
    <row r="593" ht="18.75" customHeight="1" x14ac:dyDescent="0.25"/>
    <row r="594" ht="18.75" customHeight="1" x14ac:dyDescent="0.25"/>
    <row r="595" ht="18.75" customHeight="1" x14ac:dyDescent="0.25"/>
    <row r="596" ht="18.75" customHeight="1" x14ac:dyDescent="0.25"/>
    <row r="597" ht="18.75" customHeight="1" x14ac:dyDescent="0.25"/>
    <row r="598" ht="18.75" customHeight="1" x14ac:dyDescent="0.25"/>
    <row r="599" ht="18.75" customHeight="1" x14ac:dyDescent="0.25"/>
    <row r="600" ht="18.75" customHeight="1" x14ac:dyDescent="0.25"/>
    <row r="601" ht="18.75" customHeight="1" x14ac:dyDescent="0.25"/>
    <row r="602" ht="18.75" customHeight="1" x14ac:dyDescent="0.25"/>
    <row r="603" ht="18.75" customHeight="1" x14ac:dyDescent="0.25"/>
    <row r="604" ht="18.75" customHeight="1" x14ac:dyDescent="0.25"/>
    <row r="605" ht="18.75" customHeight="1" x14ac:dyDescent="0.25"/>
    <row r="606" ht="18.75" customHeight="1" x14ac:dyDescent="0.25"/>
    <row r="607" ht="18.75" customHeight="1" x14ac:dyDescent="0.25"/>
    <row r="608" ht="18.75" customHeight="1" x14ac:dyDescent="0.25"/>
    <row r="609" ht="18.75" customHeight="1" x14ac:dyDescent="0.25"/>
    <row r="610" ht="18.75" customHeight="1" x14ac:dyDescent="0.25"/>
    <row r="611" ht="18.75" customHeight="1" x14ac:dyDescent="0.25"/>
    <row r="612" ht="18.75" customHeight="1" x14ac:dyDescent="0.25"/>
    <row r="613" ht="18.75" customHeight="1" x14ac:dyDescent="0.25"/>
    <row r="614" ht="18.75" customHeight="1" x14ac:dyDescent="0.25"/>
    <row r="615" ht="18.75" customHeight="1" x14ac:dyDescent="0.25"/>
    <row r="616" ht="18.75" customHeight="1" x14ac:dyDescent="0.25"/>
    <row r="617" ht="18.75" customHeight="1" x14ac:dyDescent="0.25"/>
    <row r="618" ht="18.75" customHeight="1" x14ac:dyDescent="0.25"/>
    <row r="619" ht="18.75" customHeight="1" x14ac:dyDescent="0.25"/>
    <row r="620" ht="18.75" customHeight="1" x14ac:dyDescent="0.25"/>
    <row r="621" ht="18.75" customHeight="1" x14ac:dyDescent="0.25"/>
    <row r="622" ht="18.75" customHeight="1" x14ac:dyDescent="0.25"/>
    <row r="623" ht="18.75" customHeight="1" x14ac:dyDescent="0.25"/>
    <row r="624" ht="18.75" customHeight="1" x14ac:dyDescent="0.25"/>
    <row r="625" ht="18.75" customHeight="1" x14ac:dyDescent="0.25"/>
    <row r="626" ht="18.75" customHeight="1" x14ac:dyDescent="0.25"/>
    <row r="627" ht="18.75" customHeight="1" x14ac:dyDescent="0.25"/>
    <row r="628" ht="18.75" customHeight="1" x14ac:dyDescent="0.25"/>
    <row r="629" ht="18.75" customHeight="1" x14ac:dyDescent="0.25"/>
    <row r="630" ht="18.75" customHeight="1" x14ac:dyDescent="0.25"/>
    <row r="631" ht="18.75" customHeight="1" x14ac:dyDescent="0.25"/>
    <row r="632" ht="18.75" customHeight="1" x14ac:dyDescent="0.25"/>
    <row r="633" ht="18.75" customHeight="1" x14ac:dyDescent="0.25"/>
    <row r="634" ht="18.75" customHeight="1" x14ac:dyDescent="0.25"/>
    <row r="635" ht="18.75" customHeight="1" x14ac:dyDescent="0.25"/>
    <row r="636" ht="18.75" customHeight="1" x14ac:dyDescent="0.25"/>
    <row r="637" ht="18.75" customHeight="1" x14ac:dyDescent="0.25"/>
    <row r="638" ht="18.75" customHeight="1" x14ac:dyDescent="0.25"/>
    <row r="639" ht="18.75" customHeight="1" x14ac:dyDescent="0.25"/>
    <row r="640" ht="18.75" customHeight="1" x14ac:dyDescent="0.25"/>
    <row r="641" ht="18.75" customHeight="1" x14ac:dyDescent="0.25"/>
    <row r="642" ht="18.75" customHeight="1" x14ac:dyDescent="0.25"/>
    <row r="643" ht="18.75" customHeight="1" x14ac:dyDescent="0.25"/>
    <row r="644" ht="18.75" customHeight="1" x14ac:dyDescent="0.25"/>
    <row r="645" ht="18.75" customHeight="1" x14ac:dyDescent="0.25"/>
    <row r="646" ht="18.75" customHeight="1" x14ac:dyDescent="0.25"/>
    <row r="647" ht="18.75" customHeight="1" x14ac:dyDescent="0.25"/>
    <row r="648" ht="18.75" customHeight="1" x14ac:dyDescent="0.25"/>
    <row r="649" ht="18.75" customHeight="1" x14ac:dyDescent="0.25"/>
    <row r="650" ht="18.75" customHeight="1" x14ac:dyDescent="0.25"/>
    <row r="651" ht="18.75" customHeight="1" x14ac:dyDescent="0.25"/>
    <row r="652" ht="18.75" customHeight="1" x14ac:dyDescent="0.25"/>
    <row r="653" ht="18.75" customHeight="1" x14ac:dyDescent="0.25"/>
    <row r="654" ht="18.75" customHeight="1" x14ac:dyDescent="0.25"/>
    <row r="655" ht="18.75" customHeight="1" x14ac:dyDescent="0.25"/>
    <row r="656" ht="18.75" customHeight="1" x14ac:dyDescent="0.25"/>
    <row r="657" ht="18.75" customHeight="1" x14ac:dyDescent="0.25"/>
    <row r="658" ht="18.75" customHeight="1" x14ac:dyDescent="0.25"/>
    <row r="659" ht="18.75" customHeight="1" x14ac:dyDescent="0.25"/>
    <row r="660" ht="18.75" customHeight="1" x14ac:dyDescent="0.25"/>
    <row r="661" ht="18.75" customHeight="1" x14ac:dyDescent="0.25"/>
    <row r="662" ht="18.75" customHeight="1" x14ac:dyDescent="0.25"/>
    <row r="663" ht="18.75" customHeight="1" x14ac:dyDescent="0.25"/>
    <row r="664" ht="18.75" customHeight="1" x14ac:dyDescent="0.25"/>
    <row r="665" ht="18.75" customHeight="1" x14ac:dyDescent="0.25"/>
    <row r="666" ht="18.75" customHeight="1" x14ac:dyDescent="0.25"/>
    <row r="667" ht="18.75" customHeight="1" x14ac:dyDescent="0.25"/>
    <row r="668" ht="18.75" customHeight="1" x14ac:dyDescent="0.25"/>
    <row r="669" ht="18.75" customHeight="1" x14ac:dyDescent="0.25"/>
    <row r="670" ht="18.75" customHeight="1" x14ac:dyDescent="0.25"/>
    <row r="671" ht="18.75" customHeight="1" x14ac:dyDescent="0.25"/>
    <row r="672" ht="18.75" customHeight="1" x14ac:dyDescent="0.25"/>
    <row r="673" ht="18.75" customHeight="1" x14ac:dyDescent="0.25"/>
    <row r="674" ht="18.75" customHeight="1" x14ac:dyDescent="0.25"/>
    <row r="675" ht="18.75" customHeight="1" x14ac:dyDescent="0.25"/>
    <row r="676" ht="18.75" customHeight="1" x14ac:dyDescent="0.25"/>
    <row r="677" ht="18.75" customHeight="1" x14ac:dyDescent="0.25"/>
    <row r="678" ht="18.75" customHeight="1" x14ac:dyDescent="0.25"/>
    <row r="679" ht="18.75" customHeight="1" x14ac:dyDescent="0.25"/>
    <row r="680" ht="18.75" customHeight="1" x14ac:dyDescent="0.25"/>
    <row r="681" ht="18.75" customHeight="1" x14ac:dyDescent="0.25"/>
    <row r="682" ht="18.75" customHeight="1" x14ac:dyDescent="0.25"/>
    <row r="683" ht="18.75" customHeight="1" x14ac:dyDescent="0.25"/>
    <row r="684" ht="18.75" customHeight="1" x14ac:dyDescent="0.25"/>
    <row r="685" ht="18.75" customHeight="1" x14ac:dyDescent="0.25"/>
    <row r="686" ht="18.75" customHeight="1" x14ac:dyDescent="0.25"/>
    <row r="687" ht="18.75" customHeight="1" x14ac:dyDescent="0.25"/>
    <row r="688" ht="18.75" customHeight="1" x14ac:dyDescent="0.25"/>
    <row r="689" ht="18.75" customHeight="1" x14ac:dyDescent="0.25"/>
    <row r="690" ht="18.75" customHeight="1" x14ac:dyDescent="0.25"/>
    <row r="691" ht="18.75" customHeight="1" x14ac:dyDescent="0.25"/>
    <row r="692" ht="18.75" customHeight="1" x14ac:dyDescent="0.25"/>
    <row r="693" ht="18.75" customHeight="1" x14ac:dyDescent="0.25"/>
    <row r="694" ht="18.75" customHeight="1" x14ac:dyDescent="0.25"/>
    <row r="695" ht="18.75" customHeight="1" x14ac:dyDescent="0.25"/>
    <row r="696" ht="18.75" customHeight="1" x14ac:dyDescent="0.25"/>
    <row r="697" ht="18.75" customHeight="1" x14ac:dyDescent="0.25"/>
    <row r="698" ht="18.75" customHeight="1" x14ac:dyDescent="0.25"/>
    <row r="699" ht="18.75" customHeight="1" x14ac:dyDescent="0.25"/>
    <row r="700" ht="18.75" customHeight="1" x14ac:dyDescent="0.25"/>
    <row r="701" ht="18.75" customHeight="1" x14ac:dyDescent="0.25"/>
    <row r="702" ht="18.75" customHeight="1" x14ac:dyDescent="0.25"/>
    <row r="703" ht="18.75" customHeight="1" x14ac:dyDescent="0.25"/>
    <row r="704" ht="18.75" customHeight="1" x14ac:dyDescent="0.25"/>
    <row r="705" ht="18.75" customHeight="1" x14ac:dyDescent="0.25"/>
    <row r="706" ht="18.75" customHeight="1" x14ac:dyDescent="0.25"/>
    <row r="707" ht="18.75" customHeight="1" x14ac:dyDescent="0.25"/>
    <row r="708" ht="18.75" customHeight="1" x14ac:dyDescent="0.25"/>
    <row r="709" ht="18.75" customHeight="1" x14ac:dyDescent="0.25"/>
    <row r="710" ht="18.75" customHeight="1" x14ac:dyDescent="0.25"/>
    <row r="711" ht="18.75" customHeight="1" x14ac:dyDescent="0.25"/>
    <row r="712" ht="18.75" customHeight="1" x14ac:dyDescent="0.25"/>
    <row r="713" ht="18.75" customHeight="1" x14ac:dyDescent="0.25"/>
    <row r="714" ht="18.75" customHeight="1" x14ac:dyDescent="0.25"/>
    <row r="715" ht="18.75" customHeight="1" x14ac:dyDescent="0.25"/>
    <row r="716" ht="18.75" customHeight="1" x14ac:dyDescent="0.25"/>
    <row r="717" ht="18.75" customHeight="1" x14ac:dyDescent="0.25"/>
    <row r="718" ht="18.75" customHeight="1" x14ac:dyDescent="0.25"/>
    <row r="719" ht="18.75" customHeight="1" x14ac:dyDescent="0.25"/>
    <row r="720" ht="18.75" customHeight="1" x14ac:dyDescent="0.25"/>
    <row r="721" ht="18.75" customHeight="1" x14ac:dyDescent="0.25"/>
    <row r="722" ht="18.75" customHeight="1" x14ac:dyDescent="0.25"/>
    <row r="723" ht="18.75" customHeight="1" x14ac:dyDescent="0.25"/>
    <row r="724" ht="18.75" customHeight="1" x14ac:dyDescent="0.25"/>
    <row r="725" ht="18.75" customHeight="1" x14ac:dyDescent="0.25"/>
    <row r="726" ht="18.75" customHeight="1" x14ac:dyDescent="0.25"/>
    <row r="727" ht="18.75" customHeight="1" x14ac:dyDescent="0.25"/>
    <row r="728" ht="18.75" customHeight="1" x14ac:dyDescent="0.25"/>
    <row r="729" ht="18.75" customHeight="1" x14ac:dyDescent="0.25"/>
    <row r="730" ht="18.75" customHeight="1" x14ac:dyDescent="0.25"/>
    <row r="731" ht="18.75" customHeight="1" x14ac:dyDescent="0.25"/>
    <row r="732" ht="18.75" customHeight="1" x14ac:dyDescent="0.25"/>
    <row r="733" ht="18.75" customHeight="1" x14ac:dyDescent="0.25"/>
    <row r="734" ht="18.75" customHeight="1" x14ac:dyDescent="0.25"/>
    <row r="735" ht="18.75" customHeight="1" x14ac:dyDescent="0.25"/>
    <row r="736" ht="18.75" customHeight="1" x14ac:dyDescent="0.25"/>
    <row r="737" ht="18.75" customHeight="1" x14ac:dyDescent="0.25"/>
    <row r="738" ht="18.75" customHeight="1" x14ac:dyDescent="0.25"/>
    <row r="739" ht="18.75" customHeight="1" x14ac:dyDescent="0.25"/>
    <row r="740" ht="18.75" customHeight="1" x14ac:dyDescent="0.25"/>
    <row r="741" ht="18.75" customHeight="1" x14ac:dyDescent="0.25"/>
    <row r="742" ht="18.75" customHeight="1" x14ac:dyDescent="0.25"/>
    <row r="743" ht="18.75" customHeight="1" x14ac:dyDescent="0.25"/>
    <row r="744" ht="18.75" customHeight="1" x14ac:dyDescent="0.25"/>
    <row r="745" ht="18.75" customHeight="1" x14ac:dyDescent="0.25"/>
    <row r="746" ht="18.75" customHeight="1" x14ac:dyDescent="0.25"/>
    <row r="747" ht="18.75" customHeight="1" x14ac:dyDescent="0.25"/>
    <row r="748" ht="18.75" customHeight="1" x14ac:dyDescent="0.25"/>
    <row r="749" ht="18.75" customHeight="1" x14ac:dyDescent="0.25"/>
    <row r="750" ht="18.75" customHeight="1" x14ac:dyDescent="0.25"/>
    <row r="751" ht="18.75" customHeight="1" x14ac:dyDescent="0.25"/>
    <row r="752" ht="18.75" customHeight="1" x14ac:dyDescent="0.25"/>
    <row r="753" ht="18.75" customHeight="1" x14ac:dyDescent="0.25"/>
    <row r="754" ht="18.75" customHeight="1" x14ac:dyDescent="0.25"/>
    <row r="755" ht="18.75" customHeight="1" x14ac:dyDescent="0.25"/>
    <row r="756" ht="18.75" customHeight="1" x14ac:dyDescent="0.25"/>
    <row r="757" ht="18.75" customHeight="1" x14ac:dyDescent="0.25"/>
    <row r="758" ht="18.75" customHeight="1" x14ac:dyDescent="0.25"/>
    <row r="759" ht="18.75" customHeight="1" x14ac:dyDescent="0.25"/>
    <row r="760" ht="18.75" customHeight="1" x14ac:dyDescent="0.25"/>
    <row r="761" ht="18.75" customHeight="1" x14ac:dyDescent="0.25"/>
    <row r="762" ht="18.75" customHeight="1" x14ac:dyDescent="0.25"/>
    <row r="763" ht="18.75" customHeight="1" x14ac:dyDescent="0.25"/>
    <row r="764" ht="18.75" customHeight="1" x14ac:dyDescent="0.25"/>
    <row r="765" ht="18.75" customHeight="1" x14ac:dyDescent="0.25"/>
    <row r="766" ht="18.75" customHeight="1" x14ac:dyDescent="0.25"/>
    <row r="767" ht="18.75" customHeight="1" x14ac:dyDescent="0.25"/>
    <row r="768" ht="18.75" customHeight="1" x14ac:dyDescent="0.25"/>
    <row r="769" ht="18.75" customHeight="1" x14ac:dyDescent="0.25"/>
    <row r="770" ht="18.75" customHeight="1" x14ac:dyDescent="0.25"/>
    <row r="771" ht="18.75" customHeight="1" x14ac:dyDescent="0.25"/>
    <row r="772" ht="18.75" customHeight="1" x14ac:dyDescent="0.25"/>
    <row r="773" ht="18.75" customHeight="1" x14ac:dyDescent="0.25"/>
    <row r="774" ht="18.75" customHeight="1" x14ac:dyDescent="0.25"/>
    <row r="775" ht="18.75" customHeight="1" x14ac:dyDescent="0.25"/>
    <row r="776" ht="18.75" customHeight="1" x14ac:dyDescent="0.25"/>
    <row r="777" ht="18.75" customHeight="1" x14ac:dyDescent="0.25"/>
    <row r="778" ht="18.75" customHeight="1" x14ac:dyDescent="0.25"/>
    <row r="779" ht="18.75" customHeight="1" x14ac:dyDescent="0.25"/>
    <row r="780" ht="18.75" customHeight="1" x14ac:dyDescent="0.25"/>
    <row r="781" ht="18.75" customHeight="1" x14ac:dyDescent="0.25"/>
    <row r="782" ht="18.75" customHeight="1" x14ac:dyDescent="0.25"/>
    <row r="783" ht="18.75" customHeight="1" x14ac:dyDescent="0.25"/>
    <row r="784" ht="18.75" customHeight="1" x14ac:dyDescent="0.25"/>
    <row r="785" ht="18.75" customHeight="1" x14ac:dyDescent="0.25"/>
    <row r="786" ht="18.75" customHeight="1" x14ac:dyDescent="0.25"/>
    <row r="787" ht="18.75" customHeight="1" x14ac:dyDescent="0.25"/>
    <row r="788" ht="18.75" customHeight="1" x14ac:dyDescent="0.25"/>
    <row r="789" ht="18.75" customHeight="1" x14ac:dyDescent="0.25"/>
    <row r="790" ht="18.75" customHeight="1" x14ac:dyDescent="0.25"/>
    <row r="791" ht="18.75" customHeight="1" x14ac:dyDescent="0.25"/>
    <row r="792" ht="18.75" customHeight="1" x14ac:dyDescent="0.25"/>
    <row r="793" ht="18.75" customHeight="1" x14ac:dyDescent="0.25"/>
    <row r="794" ht="18.75" customHeight="1" x14ac:dyDescent="0.25"/>
    <row r="795" ht="18.75" customHeight="1" x14ac:dyDescent="0.25"/>
    <row r="796" ht="18.75" customHeight="1" x14ac:dyDescent="0.25"/>
    <row r="797" ht="18.75" customHeight="1" x14ac:dyDescent="0.25"/>
    <row r="798" ht="18.75" customHeight="1" x14ac:dyDescent="0.25"/>
    <row r="799" ht="18.75" customHeight="1" x14ac:dyDescent="0.25"/>
    <row r="800" ht="18.75" customHeight="1" x14ac:dyDescent="0.25"/>
    <row r="801" ht="18.75" customHeight="1" x14ac:dyDescent="0.25"/>
    <row r="802" ht="18.75" customHeight="1" x14ac:dyDescent="0.25"/>
    <row r="803" ht="18.75" customHeight="1" x14ac:dyDescent="0.25"/>
    <row r="804" ht="18.75" customHeight="1" x14ac:dyDescent="0.25"/>
    <row r="805" ht="18.75" customHeight="1" x14ac:dyDescent="0.25"/>
    <row r="806" ht="18.75" customHeight="1" x14ac:dyDescent="0.25"/>
    <row r="807" ht="18.75" customHeight="1" x14ac:dyDescent="0.25"/>
    <row r="808" ht="18.75" customHeight="1" x14ac:dyDescent="0.25"/>
    <row r="809" ht="18.75" customHeight="1" x14ac:dyDescent="0.25"/>
    <row r="810" ht="18.75" customHeight="1" x14ac:dyDescent="0.25"/>
    <row r="811" ht="18.75" customHeight="1" x14ac:dyDescent="0.25"/>
    <row r="812" ht="18.75" customHeight="1" x14ac:dyDescent="0.25"/>
    <row r="813" ht="18.75" customHeight="1" x14ac:dyDescent="0.25"/>
    <row r="814" ht="18.75" customHeight="1" x14ac:dyDescent="0.25"/>
    <row r="815" ht="18.75" customHeight="1" x14ac:dyDescent="0.25"/>
    <row r="816" ht="18.75" customHeight="1" x14ac:dyDescent="0.25"/>
    <row r="817" ht="18.75" customHeight="1" x14ac:dyDescent="0.25"/>
    <row r="818" ht="18.75" customHeight="1" x14ac:dyDescent="0.25"/>
    <row r="819" ht="18.75" customHeight="1" x14ac:dyDescent="0.25"/>
    <row r="820" ht="18.75" customHeight="1" x14ac:dyDescent="0.25"/>
    <row r="821" ht="18.75" customHeight="1" x14ac:dyDescent="0.25"/>
    <row r="822" ht="18.75" customHeight="1" x14ac:dyDescent="0.25"/>
    <row r="823" ht="18.75" customHeight="1" x14ac:dyDescent="0.25"/>
    <row r="824" ht="18.75" customHeight="1" x14ac:dyDescent="0.25"/>
    <row r="825" ht="18.75" customHeight="1" x14ac:dyDescent="0.25"/>
    <row r="826" ht="18.75" customHeight="1" x14ac:dyDescent="0.25"/>
    <row r="827" ht="18.75" customHeight="1" x14ac:dyDescent="0.25"/>
    <row r="828" ht="18.75" customHeight="1" x14ac:dyDescent="0.25"/>
    <row r="829" ht="18.75" customHeight="1" x14ac:dyDescent="0.25"/>
    <row r="830" ht="18.75" customHeight="1" x14ac:dyDescent="0.25"/>
    <row r="831" ht="18.75" customHeight="1" x14ac:dyDescent="0.25"/>
    <row r="832" ht="18.75" customHeight="1" x14ac:dyDescent="0.25"/>
    <row r="833" ht="18.75" customHeight="1" x14ac:dyDescent="0.25"/>
    <row r="834" ht="18.75" customHeight="1" x14ac:dyDescent="0.25"/>
    <row r="835" ht="18.75" customHeight="1" x14ac:dyDescent="0.25"/>
    <row r="836" ht="18.75" customHeight="1" x14ac:dyDescent="0.25"/>
    <row r="837" ht="18.75" customHeight="1" x14ac:dyDescent="0.25"/>
    <row r="838" ht="18.75" customHeight="1" x14ac:dyDescent="0.25"/>
    <row r="839" ht="18.75" customHeight="1" x14ac:dyDescent="0.25"/>
    <row r="840" ht="18.75" customHeight="1" x14ac:dyDescent="0.25"/>
    <row r="841" ht="18.75" customHeight="1" x14ac:dyDescent="0.25"/>
    <row r="842" ht="18.75" customHeight="1" x14ac:dyDescent="0.25"/>
    <row r="843" ht="18.75" customHeight="1" x14ac:dyDescent="0.25"/>
    <row r="844" ht="18.75" customHeight="1" x14ac:dyDescent="0.25"/>
    <row r="845" ht="18.75" customHeight="1" x14ac:dyDescent="0.25"/>
    <row r="846" ht="18.75" customHeight="1" x14ac:dyDescent="0.25"/>
    <row r="847" ht="18.75" customHeight="1" x14ac:dyDescent="0.25"/>
    <row r="848" ht="18.75" customHeight="1" x14ac:dyDescent="0.25"/>
    <row r="849" ht="18.75" customHeight="1" x14ac:dyDescent="0.25"/>
    <row r="850" ht="18.75" customHeight="1" x14ac:dyDescent="0.25"/>
    <row r="851" ht="18.75" customHeight="1" x14ac:dyDescent="0.25"/>
    <row r="852" ht="18.75" customHeight="1" x14ac:dyDescent="0.25"/>
    <row r="853" ht="18.75" customHeight="1" x14ac:dyDescent="0.25"/>
    <row r="854" ht="18.75" customHeight="1" x14ac:dyDescent="0.25"/>
    <row r="855" ht="18.75" customHeight="1" x14ac:dyDescent="0.25"/>
    <row r="856" ht="18.75" customHeight="1" x14ac:dyDescent="0.25"/>
    <row r="857" ht="18.75" customHeight="1" x14ac:dyDescent="0.25"/>
    <row r="858" ht="18.75" customHeight="1" x14ac:dyDescent="0.25"/>
    <row r="859" ht="18.75" customHeight="1" x14ac:dyDescent="0.25"/>
    <row r="860" ht="18.75" customHeight="1" x14ac:dyDescent="0.25"/>
    <row r="861" ht="18.75" customHeight="1" x14ac:dyDescent="0.25"/>
    <row r="862" ht="18.75" customHeight="1" x14ac:dyDescent="0.25"/>
    <row r="863" ht="18.75" customHeight="1" x14ac:dyDescent="0.25"/>
    <row r="864" ht="18.75" customHeight="1" x14ac:dyDescent="0.25"/>
    <row r="865" ht="18.75" customHeight="1" x14ac:dyDescent="0.25"/>
    <row r="866" ht="18.75" customHeight="1" x14ac:dyDescent="0.25"/>
    <row r="867" ht="18.75" customHeight="1" x14ac:dyDescent="0.25"/>
    <row r="868" ht="18.75" customHeight="1" x14ac:dyDescent="0.25"/>
    <row r="869" ht="18.75" customHeight="1" x14ac:dyDescent="0.25"/>
    <row r="870" ht="18.75" customHeight="1" x14ac:dyDescent="0.25"/>
    <row r="871" ht="18.75" customHeight="1" x14ac:dyDescent="0.25"/>
    <row r="872" ht="18.75" customHeight="1" x14ac:dyDescent="0.25"/>
    <row r="873" ht="18.75" customHeight="1" x14ac:dyDescent="0.25"/>
    <row r="874" ht="18.75" customHeight="1" x14ac:dyDescent="0.25"/>
    <row r="875" ht="18.75" customHeight="1" x14ac:dyDescent="0.25"/>
    <row r="876" ht="18.75" customHeight="1" x14ac:dyDescent="0.25"/>
    <row r="877" ht="18.75" customHeight="1" x14ac:dyDescent="0.25"/>
    <row r="878" ht="18.75" customHeight="1" x14ac:dyDescent="0.25"/>
    <row r="879" ht="18.75" customHeight="1" x14ac:dyDescent="0.25"/>
    <row r="880" ht="18.75" customHeight="1" x14ac:dyDescent="0.25"/>
    <row r="881" ht="18.75" customHeight="1" x14ac:dyDescent="0.25"/>
    <row r="882" ht="18.75" customHeight="1" x14ac:dyDescent="0.25"/>
    <row r="883" ht="18.75" customHeight="1" x14ac:dyDescent="0.25"/>
    <row r="884" ht="18.75" customHeight="1" x14ac:dyDescent="0.25"/>
    <row r="885" ht="18.75" customHeight="1" x14ac:dyDescent="0.25"/>
    <row r="886" ht="18.75" customHeight="1" x14ac:dyDescent="0.25"/>
    <row r="887" ht="18.75" customHeight="1" x14ac:dyDescent="0.25"/>
    <row r="888" ht="18.75" customHeight="1" x14ac:dyDescent="0.25"/>
    <row r="889" ht="18.75" customHeight="1" x14ac:dyDescent="0.25"/>
    <row r="890" ht="18.75" customHeight="1" x14ac:dyDescent="0.25"/>
    <row r="891" ht="18.75" customHeight="1" x14ac:dyDescent="0.25"/>
    <row r="892" ht="18.75" customHeight="1" x14ac:dyDescent="0.25"/>
    <row r="893" ht="18.75" customHeight="1" x14ac:dyDescent="0.25"/>
    <row r="894" ht="18.75" customHeight="1" x14ac:dyDescent="0.25"/>
    <row r="895" ht="18.75" customHeight="1" x14ac:dyDescent="0.25"/>
    <row r="896" ht="18.75" customHeight="1" x14ac:dyDescent="0.25"/>
    <row r="897" ht="18.75" customHeight="1" x14ac:dyDescent="0.25"/>
    <row r="898" ht="18.75" customHeight="1" x14ac:dyDescent="0.25"/>
    <row r="899" ht="18.75" customHeight="1" x14ac:dyDescent="0.25"/>
    <row r="900" ht="18.75" customHeight="1" x14ac:dyDescent="0.25"/>
    <row r="901" ht="18.75" customHeight="1" x14ac:dyDescent="0.25"/>
    <row r="902" ht="18.75" customHeight="1" x14ac:dyDescent="0.25"/>
    <row r="903" ht="18.75" customHeight="1" x14ac:dyDescent="0.25"/>
    <row r="904" ht="18.75" customHeight="1" x14ac:dyDescent="0.25"/>
    <row r="905" ht="18.75" customHeight="1" x14ac:dyDescent="0.25"/>
    <row r="906" ht="18.75" customHeight="1" x14ac:dyDescent="0.25"/>
    <row r="907" ht="18.75" customHeight="1" x14ac:dyDescent="0.25"/>
    <row r="908" ht="18.75" customHeight="1" x14ac:dyDescent="0.25"/>
    <row r="909" ht="18.75" customHeight="1" x14ac:dyDescent="0.25"/>
    <row r="910" ht="18.75" customHeight="1" x14ac:dyDescent="0.25"/>
    <row r="911" ht="18.75" customHeight="1" x14ac:dyDescent="0.25"/>
    <row r="912" ht="18.75" customHeight="1" x14ac:dyDescent="0.25"/>
    <row r="913" ht="18.75" customHeight="1" x14ac:dyDescent="0.25"/>
    <row r="914" ht="18.75" customHeight="1" x14ac:dyDescent="0.25"/>
    <row r="915" ht="18.75" customHeight="1" x14ac:dyDescent="0.25"/>
    <row r="916" ht="18.75" customHeight="1" x14ac:dyDescent="0.25"/>
    <row r="917" ht="18.75" customHeight="1" x14ac:dyDescent="0.25"/>
    <row r="918" ht="18.75" customHeight="1" x14ac:dyDescent="0.25"/>
    <row r="919" ht="18.75" customHeight="1" x14ac:dyDescent="0.25"/>
    <row r="920" ht="18.75" customHeight="1" x14ac:dyDescent="0.25"/>
    <row r="921" ht="18.75" customHeight="1" x14ac:dyDescent="0.25"/>
    <row r="922" ht="18.75" customHeight="1" x14ac:dyDescent="0.25"/>
    <row r="923" ht="18.75" customHeight="1" x14ac:dyDescent="0.25"/>
    <row r="924" ht="18.75" customHeight="1" x14ac:dyDescent="0.25"/>
    <row r="925" ht="18.75" customHeight="1" x14ac:dyDescent="0.25"/>
    <row r="926" ht="18.75" customHeight="1" x14ac:dyDescent="0.25"/>
    <row r="927" ht="18.75" customHeight="1" x14ac:dyDescent="0.25"/>
    <row r="928" ht="18.75" customHeight="1" x14ac:dyDescent="0.25"/>
    <row r="929" ht="18.75" customHeight="1" x14ac:dyDescent="0.25"/>
    <row r="930" ht="18.75" customHeight="1" x14ac:dyDescent="0.25"/>
    <row r="931" ht="18.75" customHeight="1" x14ac:dyDescent="0.25"/>
    <row r="932" ht="18.75" customHeight="1" x14ac:dyDescent="0.25"/>
    <row r="933" ht="18.75" customHeight="1" x14ac:dyDescent="0.25"/>
    <row r="934" ht="18.75" customHeight="1" x14ac:dyDescent="0.25"/>
    <row r="935" ht="18.75" customHeight="1" x14ac:dyDescent="0.25"/>
    <row r="936" ht="18.75" customHeight="1" x14ac:dyDescent="0.25"/>
    <row r="937" ht="18.75" customHeight="1" x14ac:dyDescent="0.25"/>
    <row r="938" ht="18.75" customHeight="1" x14ac:dyDescent="0.25"/>
    <row r="939" ht="18.75" customHeight="1" x14ac:dyDescent="0.25"/>
    <row r="940" ht="18.75" customHeight="1" x14ac:dyDescent="0.25"/>
    <row r="941" ht="18.75" customHeight="1" x14ac:dyDescent="0.25"/>
    <row r="942" ht="18.75" customHeight="1" x14ac:dyDescent="0.25"/>
    <row r="943" ht="18.75" customHeight="1" x14ac:dyDescent="0.25"/>
    <row r="944" ht="18.75" customHeight="1" x14ac:dyDescent="0.25"/>
    <row r="945" ht="18.75" customHeight="1" x14ac:dyDescent="0.25"/>
    <row r="946" ht="18.75" customHeight="1" x14ac:dyDescent="0.25"/>
    <row r="947" ht="18.75" customHeight="1" x14ac:dyDescent="0.25"/>
    <row r="948" ht="18.75" customHeight="1" x14ac:dyDescent="0.25"/>
    <row r="949" ht="18.75" customHeight="1" x14ac:dyDescent="0.25"/>
    <row r="950" ht="18.75" customHeight="1" x14ac:dyDescent="0.25"/>
    <row r="951" ht="18.75" customHeight="1" x14ac:dyDescent="0.25"/>
    <row r="952" ht="18.75" customHeight="1" x14ac:dyDescent="0.25"/>
    <row r="953" ht="18.75" customHeight="1" x14ac:dyDescent="0.25"/>
    <row r="954" ht="18.75" customHeight="1" x14ac:dyDescent="0.25"/>
    <row r="955" ht="18.75" customHeight="1" x14ac:dyDescent="0.25"/>
    <row r="956" ht="18.75" customHeight="1" x14ac:dyDescent="0.25"/>
    <row r="957" ht="18.75" customHeight="1" x14ac:dyDescent="0.25"/>
    <row r="958" ht="18.75" customHeight="1" x14ac:dyDescent="0.25"/>
    <row r="959" ht="18.75" customHeight="1" x14ac:dyDescent="0.25"/>
    <row r="960" ht="18.75" customHeight="1" x14ac:dyDescent="0.25"/>
    <row r="961" ht="18.75" customHeight="1" x14ac:dyDescent="0.25"/>
    <row r="962" ht="18.75" customHeight="1" x14ac:dyDescent="0.25"/>
    <row r="963" ht="18.75" customHeight="1" x14ac:dyDescent="0.25"/>
    <row r="964" ht="18.75" customHeight="1" x14ac:dyDescent="0.25"/>
    <row r="965" ht="18.75" customHeight="1" x14ac:dyDescent="0.25"/>
    <row r="966" ht="18.75" customHeight="1" x14ac:dyDescent="0.25"/>
    <row r="967" ht="18.75" customHeight="1" x14ac:dyDescent="0.25"/>
    <row r="968" ht="18.75" customHeight="1" x14ac:dyDescent="0.25"/>
    <row r="969" ht="18.75" customHeight="1" x14ac:dyDescent="0.25"/>
    <row r="970" ht="18.75" customHeight="1" x14ac:dyDescent="0.25"/>
    <row r="971" ht="18.75" customHeight="1" x14ac:dyDescent="0.25"/>
    <row r="972" ht="18.75" customHeight="1" x14ac:dyDescent="0.25"/>
    <row r="973" ht="18.75" customHeight="1" x14ac:dyDescent="0.25"/>
    <row r="974" ht="18.75" customHeight="1" x14ac:dyDescent="0.25"/>
    <row r="975" ht="18.75" customHeight="1" x14ac:dyDescent="0.25"/>
    <row r="976" ht="18.75" customHeight="1" x14ac:dyDescent="0.25"/>
    <row r="977" ht="18.75" customHeight="1" x14ac:dyDescent="0.25"/>
    <row r="978" ht="18.75" customHeight="1" x14ac:dyDescent="0.25"/>
    <row r="979" ht="18.75" customHeight="1" x14ac:dyDescent="0.25"/>
    <row r="980" ht="18.75" customHeight="1" x14ac:dyDescent="0.25"/>
    <row r="981" ht="18.75" customHeight="1" x14ac:dyDescent="0.25"/>
    <row r="982" ht="18.75" customHeight="1" x14ac:dyDescent="0.25"/>
    <row r="983" ht="18.75" customHeight="1" x14ac:dyDescent="0.25"/>
    <row r="984" ht="18.75" customHeight="1" x14ac:dyDescent="0.25"/>
    <row r="985" ht="18.75" customHeight="1" x14ac:dyDescent="0.25"/>
    <row r="986" ht="18.75" customHeight="1" x14ac:dyDescent="0.25"/>
    <row r="987" ht="18.75" customHeight="1" x14ac:dyDescent="0.25"/>
    <row r="988" ht="18.75" customHeight="1" x14ac:dyDescent="0.25"/>
    <row r="989" ht="18.75" customHeight="1" x14ac:dyDescent="0.25"/>
    <row r="990" ht="18.75" customHeight="1" x14ac:dyDescent="0.25"/>
    <row r="991" ht="18.75" customHeight="1" x14ac:dyDescent="0.25"/>
    <row r="992" ht="18.75" customHeight="1" x14ac:dyDescent="0.25"/>
    <row r="993" ht="18.75" customHeight="1" x14ac:dyDescent="0.25"/>
    <row r="994" ht="18.75" customHeight="1" x14ac:dyDescent="0.25"/>
    <row r="995" ht="18.75" customHeight="1" x14ac:dyDescent="0.25"/>
    <row r="996" ht="18.75" customHeight="1" x14ac:dyDescent="0.25"/>
    <row r="997" ht="18.75" customHeight="1" x14ac:dyDescent="0.25"/>
    <row r="998" ht="18.75" customHeight="1" x14ac:dyDescent="0.25"/>
    <row r="999" ht="18.75" customHeight="1" x14ac:dyDescent="0.25"/>
    <row r="1000" ht="18.75" customHeight="1" x14ac:dyDescent="0.25"/>
    <row r="1001" ht="18.75" customHeight="1" x14ac:dyDescent="0.25"/>
  </sheetData>
  <phoneticPr fontId="8"/>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2B4E-E997-49AC-8030-E03034D72323}">
  <dimension ref="A2:P55"/>
  <sheetViews>
    <sheetView topLeftCell="A25" zoomScaleNormal="100" workbookViewId="0">
      <selection activeCell="Q46" sqref="Q46"/>
    </sheetView>
  </sheetViews>
  <sheetFormatPr defaultRowHeight="15" x14ac:dyDescent="0.25"/>
  <cols>
    <col min="1" max="1" width="19.7109375" bestFit="1" customWidth="1"/>
  </cols>
  <sheetData>
    <row r="2" spans="1:16" ht="18.75" x14ac:dyDescent="0.25">
      <c r="A2" s="4" t="s">
        <v>486</v>
      </c>
      <c r="B2" s="4" t="s">
        <v>487</v>
      </c>
      <c r="C2" s="4"/>
      <c r="D2" s="4"/>
      <c r="E2" s="4"/>
      <c r="F2" s="4"/>
      <c r="G2" s="4"/>
      <c r="H2" s="4"/>
      <c r="I2" s="4"/>
      <c r="J2" s="4"/>
      <c r="K2" s="4"/>
      <c r="L2" s="4"/>
      <c r="P2" s="76"/>
    </row>
    <row r="3" spans="1:16" ht="18.75" x14ac:dyDescent="0.25">
      <c r="A3" s="4"/>
      <c r="B3" s="4" t="s">
        <v>488</v>
      </c>
      <c r="C3" s="4"/>
      <c r="D3" s="4"/>
      <c r="E3" s="4"/>
      <c r="F3" s="4"/>
      <c r="G3" s="4"/>
      <c r="H3" s="4"/>
      <c r="I3" s="4"/>
      <c r="J3" s="4"/>
      <c r="K3" s="4"/>
      <c r="L3" s="4"/>
      <c r="P3" s="76"/>
    </row>
    <row r="4" spans="1:16" ht="18.75" x14ac:dyDescent="0.25">
      <c r="A4" s="4"/>
      <c r="B4" s="4" t="s">
        <v>489</v>
      </c>
      <c r="C4" s="4"/>
      <c r="D4" s="4"/>
      <c r="E4" s="4"/>
      <c r="F4" s="4"/>
      <c r="G4" s="4"/>
      <c r="H4" s="4"/>
      <c r="I4" s="4"/>
      <c r="J4" s="4"/>
      <c r="K4" s="4"/>
      <c r="L4" s="4"/>
    </row>
    <row r="5" spans="1:16" ht="18.75" x14ac:dyDescent="0.25">
      <c r="A5" s="4"/>
      <c r="B5" s="4"/>
      <c r="C5" s="4"/>
      <c r="D5" s="4"/>
      <c r="E5" s="4"/>
      <c r="F5" s="4"/>
      <c r="G5" s="4"/>
      <c r="H5" s="4"/>
      <c r="I5" s="4"/>
      <c r="J5" s="4"/>
      <c r="K5" s="4"/>
      <c r="L5" s="4"/>
    </row>
    <row r="6" spans="1:16" ht="18.75" x14ac:dyDescent="0.25">
      <c r="A6" s="4" t="s">
        <v>490</v>
      </c>
      <c r="B6" s="4" t="s">
        <v>503</v>
      </c>
      <c r="C6" s="4"/>
      <c r="D6" s="4"/>
      <c r="E6" s="4"/>
      <c r="F6" s="4"/>
      <c r="G6" s="4"/>
      <c r="H6" s="4"/>
      <c r="I6" s="4"/>
      <c r="J6" s="4"/>
      <c r="K6" s="4"/>
      <c r="L6" s="4"/>
    </row>
    <row r="7" spans="1:16" ht="18.75" x14ac:dyDescent="0.25">
      <c r="A7" s="4"/>
      <c r="B7" s="4" t="s">
        <v>491</v>
      </c>
      <c r="C7" s="4"/>
      <c r="D7" s="4"/>
      <c r="E7" s="4"/>
      <c r="F7" s="4"/>
      <c r="G7" s="4"/>
      <c r="H7" s="4"/>
      <c r="I7" s="4"/>
      <c r="J7" s="4"/>
      <c r="K7" s="4"/>
      <c r="L7" s="4"/>
    </row>
    <row r="8" spans="1:16" x14ac:dyDescent="0.25">
      <c r="B8" s="26" t="s">
        <v>492</v>
      </c>
    </row>
    <row r="9" spans="1:16" x14ac:dyDescent="0.25">
      <c r="B9" s="32" t="s">
        <v>518</v>
      </c>
    </row>
    <row r="10" spans="1:16" ht="18.75" x14ac:dyDescent="0.25">
      <c r="B10" s="33" t="s">
        <v>504</v>
      </c>
    </row>
    <row r="11" spans="1:16" x14ac:dyDescent="0.25">
      <c r="B11" s="32" t="s">
        <v>493</v>
      </c>
    </row>
    <row r="12" spans="1:16" x14ac:dyDescent="0.25">
      <c r="B12" s="26" t="s">
        <v>505</v>
      </c>
    </row>
    <row r="13" spans="1:16" ht="18.75" x14ac:dyDescent="0.25">
      <c r="B13" s="22" t="s">
        <v>519</v>
      </c>
    </row>
    <row r="15" spans="1:16" ht="18.75" x14ac:dyDescent="0.25">
      <c r="A15" s="4" t="s">
        <v>494</v>
      </c>
      <c r="B15" s="26" t="s">
        <v>495</v>
      </c>
    </row>
    <row r="16" spans="1:16" x14ac:dyDescent="0.25">
      <c r="B16" s="26" t="s">
        <v>506</v>
      </c>
    </row>
    <row r="17" spans="2:8" ht="18.75" x14ac:dyDescent="0.25">
      <c r="B17" s="33" t="s">
        <v>496</v>
      </c>
    </row>
    <row r="18" spans="2:8" x14ac:dyDescent="0.25">
      <c r="B18" s="26" t="s">
        <v>497</v>
      </c>
    </row>
    <row r="19" spans="2:8" x14ac:dyDescent="0.25">
      <c r="B19" s="61" t="s">
        <v>498</v>
      </c>
    </row>
    <row r="20" spans="2:8" x14ac:dyDescent="0.25">
      <c r="B20" s="32" t="s">
        <v>507</v>
      </c>
    </row>
    <row r="23" spans="2:8" x14ac:dyDescent="0.25">
      <c r="H23" s="32" t="s">
        <v>499</v>
      </c>
    </row>
    <row r="30" spans="2:8" x14ac:dyDescent="0.25">
      <c r="B30" s="32" t="s">
        <v>500</v>
      </c>
    </row>
    <row r="31" spans="2:8" x14ac:dyDescent="0.25">
      <c r="B31" s="32" t="s">
        <v>501</v>
      </c>
    </row>
    <row r="32" spans="2:8" x14ac:dyDescent="0.25">
      <c r="B32" s="32" t="s">
        <v>508</v>
      </c>
    </row>
    <row r="36" spans="1:8" x14ac:dyDescent="0.25">
      <c r="H36" s="32"/>
    </row>
    <row r="45" spans="1:8" x14ac:dyDescent="0.25">
      <c r="B45" s="32" t="s">
        <v>502</v>
      </c>
    </row>
    <row r="47" spans="1:8" x14ac:dyDescent="0.25">
      <c r="A47" s="32" t="s">
        <v>509</v>
      </c>
      <c r="B47" s="32" t="s">
        <v>510</v>
      </c>
    </row>
    <row r="48" spans="1:8" x14ac:dyDescent="0.25">
      <c r="B48" s="32" t="s">
        <v>523</v>
      </c>
    </row>
    <row r="49" spans="1:2" x14ac:dyDescent="0.25">
      <c r="B49" s="32" t="s">
        <v>524</v>
      </c>
    </row>
    <row r="50" spans="1:2" x14ac:dyDescent="0.25">
      <c r="B50" s="32" t="s">
        <v>511</v>
      </c>
    </row>
    <row r="51" spans="1:2" x14ac:dyDescent="0.25">
      <c r="B51" s="32" t="s">
        <v>548</v>
      </c>
    </row>
    <row r="52" spans="1:2" x14ac:dyDescent="0.25">
      <c r="B52" s="32" t="s">
        <v>525</v>
      </c>
    </row>
    <row r="54" spans="1:2" x14ac:dyDescent="0.25">
      <c r="B54" s="26" t="s">
        <v>530</v>
      </c>
    </row>
    <row r="55" spans="1:2" x14ac:dyDescent="0.25">
      <c r="A55" s="32"/>
      <c r="B55" s="32" t="s">
        <v>529</v>
      </c>
    </row>
  </sheetData>
  <phoneticPr fontId="8"/>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7435F-733E-4096-A18A-391794757B11}">
  <dimension ref="A1:U48"/>
  <sheetViews>
    <sheetView topLeftCell="A15" workbookViewId="0">
      <selection activeCell="F50" sqref="F50"/>
    </sheetView>
  </sheetViews>
  <sheetFormatPr defaultRowHeight="15" x14ac:dyDescent="0.25"/>
  <cols>
    <col min="1" max="1" width="21.28515625" bestFit="1" customWidth="1"/>
  </cols>
  <sheetData>
    <row r="1" spans="1:21" x14ac:dyDescent="0.25">
      <c r="T1" s="21" t="s">
        <v>527</v>
      </c>
      <c r="U1" s="21" t="s">
        <v>528</v>
      </c>
    </row>
    <row r="2" spans="1:21" ht="18.75" x14ac:dyDescent="0.25">
      <c r="A2" s="21" t="s">
        <v>522</v>
      </c>
      <c r="B2" s="21" t="s">
        <v>549</v>
      </c>
      <c r="C2" s="21"/>
      <c r="D2" s="21"/>
    </row>
    <row r="3" spans="1:21" x14ac:dyDescent="0.25">
      <c r="B3" s="21" t="s">
        <v>550</v>
      </c>
      <c r="C3" s="21"/>
      <c r="D3" s="21"/>
    </row>
    <row r="4" spans="1:21" x14ac:dyDescent="0.25">
      <c r="B4" s="21" t="s">
        <v>515</v>
      </c>
      <c r="C4" s="21"/>
      <c r="D4" s="21"/>
    </row>
    <row r="5" spans="1:21" x14ac:dyDescent="0.25">
      <c r="B5" s="21" t="s">
        <v>516</v>
      </c>
      <c r="C5" s="21"/>
      <c r="D5" s="21"/>
    </row>
    <row r="6" spans="1:21" x14ac:dyDescent="0.25">
      <c r="B6" s="21" t="s">
        <v>517</v>
      </c>
      <c r="C6" s="21"/>
      <c r="D6" s="21"/>
    </row>
    <row r="7" spans="1:21" x14ac:dyDescent="0.25">
      <c r="B7" s="21"/>
    </row>
    <row r="8" spans="1:21" x14ac:dyDescent="0.25">
      <c r="B8" s="61" t="s">
        <v>521</v>
      </c>
    </row>
    <row r="9" spans="1:21" x14ac:dyDescent="0.25">
      <c r="B9" s="21"/>
    </row>
    <row r="10" spans="1:21" x14ac:dyDescent="0.25">
      <c r="B10" s="41"/>
      <c r="C10" s="40" t="s">
        <v>514</v>
      </c>
      <c r="D10" s="40" t="s">
        <v>515</v>
      </c>
      <c r="E10" s="40" t="s">
        <v>516</v>
      </c>
      <c r="F10" s="40" t="s">
        <v>517</v>
      </c>
    </row>
    <row r="11" spans="1:21" x14ac:dyDescent="0.25">
      <c r="B11" s="41">
        <v>107</v>
      </c>
      <c r="C11" s="40" t="s">
        <v>433</v>
      </c>
      <c r="D11" s="40" t="s">
        <v>433</v>
      </c>
      <c r="E11" s="40" t="s">
        <v>433</v>
      </c>
      <c r="F11" s="40" t="s">
        <v>512</v>
      </c>
      <c r="G11" s="32"/>
      <c r="J11" s="21"/>
    </row>
    <row r="12" spans="1:21" x14ac:dyDescent="0.25">
      <c r="B12" s="41">
        <v>108</v>
      </c>
      <c r="C12" s="40" t="s">
        <v>512</v>
      </c>
      <c r="D12" s="40" t="s">
        <v>512</v>
      </c>
      <c r="E12" s="40" t="s">
        <v>512</v>
      </c>
      <c r="F12" s="40" t="s">
        <v>512</v>
      </c>
      <c r="G12" s="32"/>
    </row>
    <row r="13" spans="1:21" x14ac:dyDescent="0.25">
      <c r="B13" s="41">
        <v>109</v>
      </c>
      <c r="C13" s="40" t="s">
        <v>433</v>
      </c>
      <c r="D13" s="40" t="s">
        <v>433</v>
      </c>
      <c r="E13" s="40" t="s">
        <v>512</v>
      </c>
      <c r="F13" s="40" t="s">
        <v>512</v>
      </c>
    </row>
    <row r="14" spans="1:21" x14ac:dyDescent="0.25">
      <c r="B14" s="41">
        <v>110</v>
      </c>
      <c r="C14" s="40" t="s">
        <v>512</v>
      </c>
      <c r="D14" s="40" t="s">
        <v>512</v>
      </c>
      <c r="E14" s="40" t="s">
        <v>512</v>
      </c>
      <c r="F14" s="40" t="s">
        <v>512</v>
      </c>
    </row>
    <row r="15" spans="1:21" x14ac:dyDescent="0.25">
      <c r="B15" s="41">
        <v>111</v>
      </c>
      <c r="C15" s="40" t="s">
        <v>512</v>
      </c>
      <c r="D15" s="40" t="s">
        <v>512</v>
      </c>
      <c r="E15" s="40" t="s">
        <v>512</v>
      </c>
      <c r="F15" s="40" t="s">
        <v>512</v>
      </c>
    </row>
    <row r="16" spans="1:21" x14ac:dyDescent="0.25">
      <c r="B16" s="41">
        <v>112</v>
      </c>
      <c r="C16" s="40" t="s">
        <v>512</v>
      </c>
      <c r="D16" s="40" t="s">
        <v>512</v>
      </c>
      <c r="E16" s="40" t="s">
        <v>512</v>
      </c>
      <c r="F16" s="40" t="s">
        <v>512</v>
      </c>
    </row>
    <row r="17" spans="1:10" x14ac:dyDescent="0.25">
      <c r="B17" s="41">
        <v>113</v>
      </c>
      <c r="C17" s="40" t="s">
        <v>433</v>
      </c>
      <c r="D17" s="40" t="s">
        <v>433</v>
      </c>
      <c r="E17" s="40" t="s">
        <v>512</v>
      </c>
      <c r="F17" s="40" t="s">
        <v>520</v>
      </c>
      <c r="G17" s="21" t="s">
        <v>551</v>
      </c>
    </row>
    <row r="18" spans="1:10" x14ac:dyDescent="0.25">
      <c r="B18" s="41">
        <v>114</v>
      </c>
      <c r="C18" s="40" t="s">
        <v>512</v>
      </c>
      <c r="D18" s="40" t="s">
        <v>512</v>
      </c>
      <c r="E18" s="40" t="s">
        <v>433</v>
      </c>
      <c r="F18" s="40" t="s">
        <v>512</v>
      </c>
    </row>
    <row r="19" spans="1:10" x14ac:dyDescent="0.25">
      <c r="B19" s="41">
        <v>115</v>
      </c>
      <c r="C19" s="40" t="s">
        <v>512</v>
      </c>
      <c r="D19" s="40" t="s">
        <v>512</v>
      </c>
      <c r="E19" s="40" t="s">
        <v>433</v>
      </c>
      <c r="F19" s="40" t="s">
        <v>512</v>
      </c>
    </row>
    <row r="20" spans="1:10" x14ac:dyDescent="0.25">
      <c r="B20" s="41">
        <v>116</v>
      </c>
      <c r="C20" s="40" t="s">
        <v>433</v>
      </c>
      <c r="D20" s="40" t="s">
        <v>433</v>
      </c>
      <c r="E20" s="40" t="s">
        <v>512</v>
      </c>
      <c r="F20" s="40" t="s">
        <v>512</v>
      </c>
    </row>
    <row r="22" spans="1:10" x14ac:dyDescent="0.25">
      <c r="B22" s="21" t="s">
        <v>533</v>
      </c>
      <c r="C22" s="21"/>
      <c r="D22" s="21"/>
      <c r="E22" s="21"/>
      <c r="F22" s="21"/>
      <c r="G22" s="21"/>
      <c r="H22" s="21"/>
      <c r="I22" s="21"/>
      <c r="J22" s="21"/>
    </row>
    <row r="23" spans="1:10" x14ac:dyDescent="0.25">
      <c r="B23" s="21" t="s">
        <v>534</v>
      </c>
      <c r="C23" s="21"/>
      <c r="D23" s="21"/>
      <c r="E23" s="21"/>
      <c r="F23" s="21"/>
      <c r="G23" s="21"/>
      <c r="H23" s="21"/>
      <c r="I23" s="21"/>
      <c r="J23" s="21"/>
    </row>
    <row r="24" spans="1:10" x14ac:dyDescent="0.25">
      <c r="B24" s="21"/>
      <c r="C24" s="21"/>
      <c r="D24" s="21"/>
      <c r="E24" s="21"/>
      <c r="F24" s="21"/>
      <c r="G24" s="21"/>
      <c r="H24" s="21"/>
      <c r="I24" s="21"/>
      <c r="J24" s="21"/>
    </row>
    <row r="25" spans="1:10" x14ac:dyDescent="0.25">
      <c r="B25" s="21" t="s">
        <v>535</v>
      </c>
      <c r="C25" s="21"/>
      <c r="D25" s="21"/>
      <c r="E25" s="21"/>
      <c r="F25" s="21"/>
      <c r="G25" s="21"/>
      <c r="H25" s="21"/>
      <c r="I25" s="21"/>
      <c r="J25" s="21"/>
    </row>
    <row r="26" spans="1:10" x14ac:dyDescent="0.25">
      <c r="B26" s="21" t="s">
        <v>536</v>
      </c>
      <c r="C26" s="21"/>
      <c r="D26" s="21"/>
      <c r="E26" s="21"/>
      <c r="F26" s="21"/>
      <c r="G26" s="21"/>
      <c r="H26" s="21"/>
      <c r="I26" s="21"/>
      <c r="J26" s="21"/>
    </row>
    <row r="27" spans="1:10" x14ac:dyDescent="0.25">
      <c r="B27" s="21" t="s">
        <v>537</v>
      </c>
      <c r="C27" s="21"/>
      <c r="D27" s="21"/>
      <c r="E27" s="21"/>
      <c r="F27" s="21"/>
      <c r="G27" s="21"/>
      <c r="H27" s="21"/>
      <c r="I27" s="21"/>
      <c r="J27" s="21"/>
    </row>
    <row r="28" spans="1:10" x14ac:dyDescent="0.25">
      <c r="B28" s="21" t="s">
        <v>538</v>
      </c>
      <c r="C28" s="21"/>
      <c r="D28" s="21"/>
      <c r="E28" s="21"/>
      <c r="F28" s="21"/>
      <c r="G28" s="21"/>
      <c r="H28" s="21"/>
      <c r="I28" s="21"/>
      <c r="J28" s="21"/>
    </row>
    <row r="29" spans="1:10" x14ac:dyDescent="0.25">
      <c r="B29" s="21" t="s">
        <v>539</v>
      </c>
      <c r="C29" s="21"/>
      <c r="D29" s="21"/>
      <c r="E29" s="21"/>
      <c r="F29" s="21"/>
      <c r="G29" s="21"/>
      <c r="H29" s="21"/>
      <c r="I29" s="21"/>
      <c r="J29" s="21"/>
    </row>
    <row r="30" spans="1:10" x14ac:dyDescent="0.25">
      <c r="B30" s="21"/>
      <c r="C30" s="21"/>
      <c r="D30" s="21"/>
      <c r="E30" s="21"/>
      <c r="F30" s="21"/>
      <c r="G30" s="21"/>
      <c r="H30" s="21"/>
      <c r="I30" s="21"/>
      <c r="J30" s="21"/>
    </row>
    <row r="31" spans="1:10" x14ac:dyDescent="0.25">
      <c r="A31" s="26" t="s">
        <v>531</v>
      </c>
      <c r="B31" s="21" t="s">
        <v>540</v>
      </c>
      <c r="C31" s="21"/>
      <c r="D31" s="21"/>
      <c r="E31" s="21"/>
      <c r="F31" s="21"/>
      <c r="G31" s="21"/>
      <c r="H31" s="21"/>
      <c r="I31" s="21"/>
      <c r="J31" s="21"/>
    </row>
    <row r="32" spans="1:10" x14ac:dyDescent="0.25">
      <c r="B32" s="21"/>
      <c r="C32" s="21" t="s">
        <v>541</v>
      </c>
      <c r="D32" s="21"/>
      <c r="E32" s="21"/>
      <c r="F32" s="21"/>
      <c r="G32" s="21"/>
      <c r="H32" s="21"/>
      <c r="I32" s="21"/>
      <c r="J32" s="21"/>
    </row>
    <row r="33" spans="1:20" x14ac:dyDescent="0.25">
      <c r="B33" s="21"/>
      <c r="C33" s="21" t="s">
        <v>542</v>
      </c>
      <c r="D33" s="21"/>
      <c r="E33" s="21"/>
      <c r="F33" s="21"/>
      <c r="G33" s="21"/>
      <c r="H33" s="21"/>
      <c r="I33" s="21"/>
      <c r="J33" s="21"/>
    </row>
    <row r="34" spans="1:20" x14ac:dyDescent="0.25">
      <c r="B34" s="21"/>
      <c r="C34" s="21" t="s">
        <v>543</v>
      </c>
      <c r="D34" s="21"/>
      <c r="E34" s="21"/>
      <c r="F34" s="21"/>
      <c r="G34" s="21"/>
      <c r="H34" s="21"/>
      <c r="I34" s="21"/>
      <c r="J34" s="21"/>
    </row>
    <row r="35" spans="1:20" x14ac:dyDescent="0.25">
      <c r="B35" s="21"/>
      <c r="C35" s="21"/>
      <c r="D35" s="21"/>
      <c r="E35" s="21"/>
      <c r="F35" s="21"/>
      <c r="G35" s="21"/>
      <c r="H35" s="21"/>
      <c r="I35" s="21"/>
      <c r="J35" s="21"/>
    </row>
    <row r="36" spans="1:20" x14ac:dyDescent="0.25">
      <c r="B36" s="21" t="s">
        <v>544</v>
      </c>
      <c r="C36" s="21"/>
      <c r="D36" s="21"/>
      <c r="E36" s="21"/>
      <c r="F36" s="21"/>
      <c r="G36" s="21"/>
      <c r="H36" s="21"/>
      <c r="I36" s="21"/>
      <c r="J36" s="21"/>
    </row>
    <row r="37" spans="1:20" x14ac:dyDescent="0.25">
      <c r="B37" s="22" t="s">
        <v>547</v>
      </c>
      <c r="C37" s="21"/>
      <c r="D37" s="21"/>
      <c r="E37" s="21"/>
      <c r="F37" s="21"/>
      <c r="G37" s="21"/>
      <c r="H37" s="21"/>
      <c r="I37" s="21"/>
      <c r="J37" s="21"/>
    </row>
    <row r="38" spans="1:20" x14ac:dyDescent="0.25">
      <c r="B38" s="21" t="s">
        <v>545</v>
      </c>
      <c r="C38" s="21"/>
      <c r="D38" s="21"/>
      <c r="E38" s="21"/>
      <c r="F38" s="21"/>
      <c r="G38" s="21"/>
      <c r="H38" s="21"/>
      <c r="I38" s="21"/>
      <c r="J38" s="21"/>
    </row>
    <row r="39" spans="1:20" x14ac:dyDescent="0.25">
      <c r="B39" s="22" t="s">
        <v>552</v>
      </c>
      <c r="C39" s="21"/>
      <c r="D39" s="21"/>
      <c r="E39" s="21"/>
      <c r="F39" s="21"/>
      <c r="G39" s="21"/>
      <c r="H39" s="21"/>
      <c r="I39" s="21"/>
      <c r="J39" s="21"/>
    </row>
    <row r="40" spans="1:20" x14ac:dyDescent="0.25">
      <c r="B40" s="21"/>
      <c r="C40" s="21"/>
      <c r="D40" s="21"/>
      <c r="E40" s="21"/>
      <c r="F40" s="21"/>
      <c r="G40" s="21"/>
      <c r="H40" s="21"/>
      <c r="I40" s="21"/>
      <c r="J40" s="21"/>
    </row>
    <row r="41" spans="1:20" x14ac:dyDescent="0.25">
      <c r="B41" s="21"/>
      <c r="C41" s="21"/>
      <c r="D41" s="21"/>
      <c r="E41" s="21"/>
      <c r="F41" s="21"/>
      <c r="G41" s="21"/>
      <c r="H41" s="21"/>
      <c r="I41" s="21"/>
      <c r="J41" s="21"/>
    </row>
    <row r="42" spans="1:20" ht="15.75" x14ac:dyDescent="0.25">
      <c r="A42" s="21" t="s">
        <v>553</v>
      </c>
      <c r="B42" s="77" t="s">
        <v>554</v>
      </c>
      <c r="C42" s="21"/>
      <c r="D42" s="21"/>
      <c r="E42" s="21"/>
      <c r="F42" s="21"/>
      <c r="G42" s="21"/>
      <c r="H42" s="21"/>
      <c r="I42" s="21"/>
      <c r="J42" s="21"/>
      <c r="K42" s="21"/>
      <c r="L42" s="21"/>
      <c r="M42" s="21"/>
      <c r="N42" s="21"/>
      <c r="O42" s="21"/>
      <c r="P42" s="21"/>
      <c r="Q42" s="21"/>
      <c r="R42" s="21"/>
      <c r="S42" s="21"/>
      <c r="T42" s="21"/>
    </row>
    <row r="43" spans="1:20" ht="15.75" x14ac:dyDescent="0.25">
      <c r="A43" s="21"/>
      <c r="B43" s="77" t="s">
        <v>555</v>
      </c>
      <c r="C43" s="21"/>
      <c r="D43" s="21"/>
      <c r="E43" s="21"/>
      <c r="F43" s="21"/>
      <c r="G43" s="21"/>
      <c r="H43" s="21"/>
      <c r="I43" s="21"/>
      <c r="J43" s="21"/>
      <c r="K43" s="21"/>
      <c r="L43" s="21"/>
      <c r="M43" s="21"/>
      <c r="N43" s="21"/>
      <c r="O43" s="21"/>
      <c r="P43" s="21"/>
      <c r="Q43" s="21"/>
      <c r="R43" s="21"/>
      <c r="S43" s="21"/>
      <c r="T43" s="21"/>
    </row>
    <row r="44" spans="1:20" ht="15.75" x14ac:dyDescent="0.25">
      <c r="A44" s="21"/>
      <c r="B44" s="77" t="s">
        <v>532</v>
      </c>
      <c r="C44" s="21"/>
      <c r="D44" s="21"/>
      <c r="E44" s="21"/>
      <c r="F44" s="21"/>
      <c r="G44" s="21"/>
      <c r="H44" s="21"/>
      <c r="I44" s="21"/>
      <c r="J44" s="21"/>
      <c r="K44" s="21"/>
      <c r="L44" s="21"/>
      <c r="M44" s="21"/>
      <c r="N44" s="21"/>
      <c r="O44" s="21"/>
      <c r="P44" s="21"/>
      <c r="Q44" s="21"/>
      <c r="R44" s="21"/>
      <c r="S44" s="21"/>
      <c r="T44" s="21"/>
    </row>
    <row r="45" spans="1:20" ht="15.75" x14ac:dyDescent="0.25">
      <c r="A45" s="21"/>
      <c r="B45" s="78" t="s">
        <v>546</v>
      </c>
      <c r="C45" s="21"/>
      <c r="D45" s="21"/>
      <c r="E45" s="21"/>
      <c r="F45" s="21"/>
      <c r="G45" s="21"/>
      <c r="H45" s="21"/>
      <c r="I45" s="21"/>
      <c r="J45" s="21"/>
      <c r="K45" s="21"/>
      <c r="L45" s="21"/>
      <c r="M45" s="21"/>
      <c r="N45" s="21"/>
      <c r="O45" s="21"/>
      <c r="P45" s="21"/>
      <c r="Q45" s="21"/>
      <c r="R45" s="21"/>
      <c r="S45" s="21"/>
      <c r="T45" s="21"/>
    </row>
    <row r="46" spans="1:20" ht="15.75" x14ac:dyDescent="0.25">
      <c r="A46" s="21"/>
      <c r="B46" s="78" t="s">
        <v>556</v>
      </c>
      <c r="C46" s="21"/>
      <c r="D46" s="21"/>
      <c r="E46" s="21"/>
      <c r="F46" s="21"/>
      <c r="G46" s="21"/>
      <c r="H46" s="21"/>
      <c r="I46" s="21"/>
      <c r="J46" s="21"/>
      <c r="K46" s="21"/>
      <c r="L46" s="21"/>
      <c r="M46" s="21"/>
      <c r="N46" s="21"/>
      <c r="O46" s="21"/>
      <c r="P46" s="21"/>
      <c r="Q46" s="21"/>
      <c r="R46" s="21"/>
      <c r="S46" s="21"/>
      <c r="T46" s="21"/>
    </row>
    <row r="47" spans="1:20" ht="15.75" x14ac:dyDescent="0.25">
      <c r="A47" s="21"/>
      <c r="B47" s="77" t="s">
        <v>557</v>
      </c>
      <c r="C47" s="21"/>
      <c r="D47" s="21"/>
      <c r="E47" s="21"/>
      <c r="F47" s="21"/>
      <c r="G47" s="21"/>
      <c r="H47" s="21"/>
      <c r="I47" s="21"/>
      <c r="J47" s="21"/>
      <c r="K47" s="21"/>
      <c r="L47" s="21"/>
      <c r="M47" s="21"/>
      <c r="N47" s="21"/>
      <c r="O47" s="21"/>
      <c r="P47" s="21"/>
      <c r="Q47" s="21"/>
      <c r="R47" s="21"/>
      <c r="S47" s="21"/>
      <c r="T47" s="21"/>
    </row>
    <row r="48" spans="1:20" x14ac:dyDescent="0.25">
      <c r="B48" s="21"/>
      <c r="C48" s="21"/>
      <c r="D48" s="21"/>
      <c r="E48" s="21"/>
      <c r="F48" s="21"/>
      <c r="G48" s="21"/>
      <c r="H48" s="21"/>
      <c r="I48" s="21"/>
      <c r="J48" s="21"/>
    </row>
  </sheetData>
  <phoneticPr fontId="8"/>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107</vt:lpstr>
      <vt:lpstr>108</vt:lpstr>
      <vt:lpstr>109</vt:lpstr>
      <vt:lpstr>110</vt:lpstr>
      <vt:lpstr>111</vt:lpstr>
      <vt:lpstr>112</vt:lpstr>
      <vt:lpstr>113</vt:lpstr>
      <vt:lpstr>114</vt:lpstr>
      <vt:lpstr>115</vt:lpstr>
      <vt:lpstr>116</vt:lpstr>
      <vt:lpstr>AI使用での注意点</vt:lpstr>
      <vt:lpstr>AIの回答調査とまとめ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ict15</dc:creator>
  <cp:lastModifiedBy>ict15</cp:lastModifiedBy>
  <dcterms:created xsi:type="dcterms:W3CDTF">2026-10-01T02:09:02Z</dcterms:created>
  <dcterms:modified xsi:type="dcterms:W3CDTF">2026-10-06T07:41:40Z</dcterms:modified>
</cp:coreProperties>
</file>
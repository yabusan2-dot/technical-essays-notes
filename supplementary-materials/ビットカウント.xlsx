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ct15\Desktop\資料集\"/>
    </mc:Choice>
  </mc:AlternateContent>
  <xr:revisionPtr revIDLastSave="0" documentId="13_ncr:1_{FF9A53FD-DF10-480B-A1DB-B3D593D8AE63}" xr6:coauthVersionLast="47" xr6:coauthVersionMax="47" xr10:uidLastSave="{00000000-0000-0000-0000-000000000000}"/>
  <bookViews>
    <workbookView xWindow="-120" yWindow="-120" windowWidth="29040" windowHeight="15840" activeTab="7" xr2:uid="{6F445B1B-4C61-41ED-9A1E-C5DBD9F9D530}"/>
  </bookViews>
  <sheets>
    <sheet name="はじめに" sheetId="1" r:id="rId1"/>
    <sheet name="方法1" sheetId="4" r:id="rId2"/>
    <sheet name="方法2" sheetId="5" r:id="rId3"/>
    <sheet name="方法3" sheetId="8" r:id="rId4"/>
    <sheet name="方法4" sheetId="6" r:id="rId5"/>
    <sheet name="方法5" sheetId="7" r:id="rId6"/>
    <sheet name="まとめ" sheetId="2" r:id="rId7"/>
    <sheet name="最適化の考察" sheetId="11" r:id="rId8"/>
    <sheet name="発展" sheetId="9" r:id="rId9"/>
    <sheet name="AIの解答" sheetId="10" r:id="rId10"/>
    <sheet name="おまけ" sheetId="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5" i="9" l="1"/>
  <c r="Q26" i="9"/>
  <c r="Q27" i="9"/>
  <c r="Q28" i="9"/>
  <c r="Q24" i="9"/>
  <c r="P25" i="9"/>
  <c r="P26" i="9"/>
  <c r="P27" i="9"/>
  <c r="P28" i="9"/>
  <c r="P24" i="9"/>
  <c r="O25" i="9"/>
  <c r="O26" i="9"/>
  <c r="O27" i="9"/>
  <c r="O28" i="9"/>
  <c r="O24" i="9"/>
  <c r="N25" i="9"/>
  <c r="N26" i="9"/>
  <c r="N27" i="9"/>
  <c r="N28" i="9"/>
  <c r="N24" i="9"/>
</calcChain>
</file>

<file path=xl/sharedStrings.xml><?xml version="1.0" encoding="utf-8"?>
<sst xmlns="http://schemas.openxmlformats.org/spreadsheetml/2006/main" count="287" uniqueCount="266">
  <si>
    <t>関数名</t>
  </si>
  <si>
    <t>処理時間（秒）</t>
  </si>
  <si>
    <t>速度比</t>
  </si>
  <si>
    <t>設計思想（アーキテクチャ）</t>
  </si>
  <si>
    <t>特徴と使いどころ</t>
  </si>
  <si>
    <t>numofbits1 (力まかせループ)</t>
  </si>
  <si>
    <t>1.0倍 (基準)</t>
  </si>
  <si>
    <t>愚直な全探索（シリアル処理）。マスクを1ビットずつ左シフトして確認。</t>
  </si>
  <si>
    <t>速度は最低。ただし論理が最も平易で、可読性・デバッグ性が高い（仕様の基準）。</t>
  </si>
  <si>
    <t>numofbits3 (カーニハン流)</t>
  </si>
  <si>
    <t>ビットが「0」ばかりのスカスカなデータ（疎な行列）のときに圧倒的な効果を発揮。</t>
  </si>
  <si>
    <t>numofbits2 (空間置換テーブル)</t>
  </si>
  <si>
    <t>計算のプリコンパイル（空間への置換）。256配列のテーブルをメモリ展開。</t>
  </si>
  <si>
    <t>1バイト（8ビット）ずつ答えを「見る」だけ。メモリ容量（空間）に余裕があるなら最強。</t>
  </si>
  <si>
    <t>popcnt (CPUダイレクト)</t>
  </si>
  <si>
    <t>ハードウェア層へのダイレクトコミット。CPUが持つ専用の物理回路を直接叩く。</t>
  </si>
  <si>
    <t>実行環境（ハードウェア）にこの命令があれば、迷わずこれを選ぶのが大正解。</t>
  </si>
  <si>
    <t>無駄なゼロのスキップ x &amp; (x - 1) で最下位の1を直接消去。</t>
    <phoneticPr fontId="2"/>
  </si>
  <si>
    <t>3ビットごとの8進数和算 1970年代のMITハッカー集団の遺産。</t>
    <phoneticPr fontId="2"/>
  </si>
  <si>
    <t>分割統治（並列加算回路の再現）。ビットマスクで2、4、8、16単位で一斉加算。</t>
    <phoneticPr fontId="2"/>
  </si>
  <si>
    <t>ループ（分岐）が一切ない。自動運転AIなどのエッジ画像処理で極めて重宝される方法論。</t>
    <rPh sb="38" eb="40">
      <t>ホウホウ</t>
    </rPh>
    <rPh sb="40" eb="41">
      <t>ロン</t>
    </rPh>
    <phoneticPr fontId="2"/>
  </si>
  <si>
    <r>
      <t>「</t>
    </r>
    <r>
      <rPr>
        <sz val="11"/>
        <color rgb="FF000000"/>
        <rFont val="Aptos Narrow"/>
        <family val="2"/>
      </rPr>
      <t>Python</t>
    </r>
    <r>
      <rPr>
        <sz val="11"/>
        <color rgb="FF000000"/>
        <rFont val="游ゴシック"/>
        <family val="3"/>
        <charset val="128"/>
        <scheme val="minor"/>
      </rPr>
      <t>のライブラリを叩けば</t>
    </r>
    <r>
      <rPr>
        <sz val="11"/>
        <color rgb="FF000000"/>
        <rFont val="Aptos Narrow"/>
        <family val="2"/>
      </rPr>
      <t>AI</t>
    </r>
    <r>
      <rPr>
        <sz val="11"/>
        <color rgb="FF000000"/>
        <rFont val="游ゴシック"/>
        <family val="3"/>
        <charset val="128"/>
        <scheme val="minor"/>
      </rPr>
      <t>なんてすぐ組める」</t>
    </r>
  </si>
  <si>
    <t>「モダンなフレームワークさえ知っていればプログラマとして生きていける」</t>
  </si>
  <si>
    <t>もしそんな風に考えているなら、それは危険な勘違いです。</t>
  </si>
  <si>
    <t>システムの裏側で走っているハードウェアの基本構造（アーキテクチャ）や数理の美しい構造を知らなければ、</t>
  </si>
  <si>
    <r>
      <t>ビットカウント（立っている「</t>
    </r>
    <r>
      <rPr>
        <sz val="11"/>
        <color rgb="FF000000"/>
        <rFont val="Aptos Narrow"/>
        <family val="2"/>
      </rPr>
      <t>1</t>
    </r>
    <r>
      <rPr>
        <sz val="11"/>
        <color rgb="FF000000"/>
        <rFont val="游ゴシック"/>
        <family val="3"/>
        <charset val="128"/>
        <scheme val="minor"/>
      </rPr>
      <t>」の数を数えるアルゴリズム：ハミング重量）です。</t>
    </r>
  </si>
  <si>
    <r>
      <t>これは身近な「</t>
    </r>
    <r>
      <rPr>
        <sz val="11"/>
        <color rgb="FF000000"/>
        <rFont val="Aptos Narrow"/>
        <family val="2"/>
      </rPr>
      <t>100</t>
    </r>
    <r>
      <rPr>
        <sz val="11"/>
        <color rgb="FF000000"/>
        <rFont val="游ゴシック"/>
        <family val="3"/>
        <charset val="128"/>
        <scheme val="minor"/>
      </rPr>
      <t>問の性格診断の『はい</t>
    </r>
    <r>
      <rPr>
        <sz val="11"/>
        <color rgb="FF000000"/>
        <rFont val="Aptos Narrow"/>
        <family val="2"/>
      </rPr>
      <t>(1)</t>
    </r>
    <r>
      <rPr>
        <sz val="11"/>
        <color rgb="FF000000"/>
        <rFont val="游ゴシック"/>
        <family val="3"/>
        <charset val="128"/>
        <scheme val="minor"/>
      </rPr>
      <t>／いいえ</t>
    </r>
    <r>
      <rPr>
        <sz val="11"/>
        <color rgb="FF000000"/>
        <rFont val="Aptos Narrow"/>
        <family val="2"/>
      </rPr>
      <t>(0)』</t>
    </r>
    <r>
      <rPr>
        <sz val="11"/>
        <color rgb="FF000000"/>
        <rFont val="游ゴシック"/>
        <family val="3"/>
        <charset val="128"/>
        <scheme val="minor"/>
      </rPr>
      <t>や、それに類似した相性チェック」から、</t>
    </r>
  </si>
  <si>
    <r>
      <t>「自動運転</t>
    </r>
    <r>
      <rPr>
        <sz val="11"/>
        <color rgb="FF000000"/>
        <rFont val="Aptos Narrow"/>
        <family val="2"/>
      </rPr>
      <t>AI</t>
    </r>
    <r>
      <rPr>
        <sz val="11"/>
        <color rgb="FF000000"/>
        <rFont val="游ゴシック"/>
        <family val="3"/>
        <charset val="128"/>
        <scheme val="minor"/>
      </rPr>
      <t>が</t>
    </r>
    <r>
      <rPr>
        <sz val="11"/>
        <color rgb="FF000000"/>
        <rFont val="Aptos Narrow"/>
        <family val="2"/>
      </rPr>
      <t>1</t>
    </r>
    <r>
      <rPr>
        <sz val="11"/>
        <color rgb="FF000000"/>
        <rFont val="游ゴシック"/>
        <family val="3"/>
        <charset val="128"/>
        <scheme val="minor"/>
      </rPr>
      <t>秒間に何十フレームもの画像から歩行者の特徴を一瞬で割り出す超高速認知エンジン」まで、</t>
    </r>
  </si>
  <si>
    <r>
      <t>共通して使われている世界最速の技術の</t>
    </r>
    <r>
      <rPr>
        <sz val="11"/>
        <color rgb="FF000000"/>
        <rFont val="Aptos Narrow"/>
        <family val="2"/>
      </rPr>
      <t>1</t>
    </r>
    <r>
      <rPr>
        <sz val="11"/>
        <color rgb="FF000000"/>
        <rFont val="游ゴシック"/>
        <family val="3"/>
        <charset val="128"/>
        <scheme val="minor"/>
      </rPr>
      <t>つです。</t>
    </r>
  </si>
  <si>
    <r>
      <t>これを題材にして、</t>
    </r>
    <r>
      <rPr>
        <sz val="11"/>
        <color rgb="FF000000"/>
        <rFont val="Aptos Narrow"/>
        <family val="2"/>
      </rPr>
      <t>AI</t>
    </r>
    <r>
      <rPr>
        <sz val="11"/>
        <color rgb="FF000000"/>
        <rFont val="游ゴシック"/>
        <family val="3"/>
        <charset val="128"/>
        <scheme val="minor"/>
      </rPr>
      <t>（</t>
    </r>
    <r>
      <rPr>
        <sz val="11"/>
        <color rgb="FF000000"/>
        <rFont val="Aptos Narrow"/>
        <family val="2"/>
      </rPr>
      <t>LLM</t>
    </r>
    <r>
      <rPr>
        <sz val="11"/>
        <color rgb="FF000000"/>
        <rFont val="游ゴシック"/>
        <family val="3"/>
        <charset val="128"/>
        <scheme val="minor"/>
      </rPr>
      <t>）が提示するコードだけでなく、</t>
    </r>
  </si>
  <si>
    <t>人間の遊び心でエレガントな「別解」を導き出す、</t>
  </si>
  <si>
    <t>〜 1バイトの処理から、自動運転、そして数理宇宙へ 〜</t>
    <phoneticPr fontId="2"/>
  </si>
  <si>
    <t>なぜ、いま「ビットの数」を数えるのか？</t>
    <phoneticPr fontId="2"/>
  </si>
  <si>
    <r>
      <t>今回紹介するのは、コンピュータが最も得意とする「</t>
    </r>
    <r>
      <rPr>
        <sz val="11"/>
        <color rgb="FF000000"/>
        <rFont val="Aptos Narrow"/>
        <family val="2"/>
      </rPr>
      <t>0</t>
    </r>
    <r>
      <rPr>
        <sz val="11"/>
        <color rgb="FF000000"/>
        <rFont val="游ゴシック"/>
        <family val="3"/>
        <charset val="128"/>
        <scheme val="minor"/>
      </rPr>
      <t>と</t>
    </r>
    <r>
      <rPr>
        <sz val="11"/>
        <color rgb="FF000000"/>
        <rFont val="Aptos Narrow"/>
        <family val="2"/>
      </rPr>
      <t>1</t>
    </r>
    <r>
      <rPr>
        <sz val="11"/>
        <color rgb="FF000000"/>
        <rFont val="游ゴシック"/>
        <family val="3"/>
        <charset val="128"/>
        <scheme val="minor"/>
      </rPr>
      <t>の処理」の極限、</t>
    </r>
    <rPh sb="2" eb="4">
      <t>ショウカイ</t>
    </rPh>
    <phoneticPr fontId="2"/>
  </si>
  <si>
    <t>自動運転のような「絶対にフリーズや遅延が許されない」極限の仕様・環境で戦える、本物のアーキテクトにはなれません。</t>
    <rPh sb="29" eb="31">
      <t>シヨウ</t>
    </rPh>
    <phoneticPr fontId="2"/>
  </si>
  <si>
    <t>実際のプログラミングコードと共に、仕組み、概念を紹介をしていきます。</t>
    <rPh sb="0" eb="2">
      <t>ジッサイ</t>
    </rPh>
    <rPh sb="14" eb="15">
      <t>トモ</t>
    </rPh>
    <rPh sb="17" eb="19">
      <t>シク</t>
    </rPh>
    <rPh sb="21" eb="23">
      <t>ガイネン</t>
    </rPh>
    <phoneticPr fontId="2"/>
  </si>
  <si>
    <t>デジタルとアナログを繋ぐ「心の位相空間（トポロジー）」</t>
  </si>
  <si>
    <r>
      <t>ここまで、</t>
    </r>
    <r>
      <rPr>
        <sz val="11"/>
        <color rgb="FF000000"/>
        <rFont val="Aptos Narrow"/>
        <family val="2"/>
      </rPr>
      <t>32</t>
    </r>
    <r>
      <rPr>
        <sz val="11"/>
        <color rgb="FF000000"/>
        <rFont val="游ゴシック"/>
        <family val="3"/>
        <charset val="128"/>
        <scheme val="minor"/>
      </rPr>
      <t>ビットから</t>
    </r>
    <r>
      <rPr>
        <sz val="11"/>
        <color rgb="FF000000"/>
        <rFont val="Aptos Narrow"/>
        <family val="2"/>
      </rPr>
      <t>1024</t>
    </r>
    <r>
      <rPr>
        <sz val="11"/>
        <color rgb="FF000000"/>
        <rFont val="游ゴシック"/>
        <family val="3"/>
        <charset val="128"/>
        <scheme val="minor"/>
      </rPr>
      <t>ビットへと、デジタルな「</t>
    </r>
    <r>
      <rPr>
        <sz val="11"/>
        <color rgb="FF000000"/>
        <rFont val="Aptos Narrow"/>
        <family val="2"/>
      </rPr>
      <t>0</t>
    </r>
    <r>
      <rPr>
        <sz val="11"/>
        <color rgb="FF000000"/>
        <rFont val="游ゴシック"/>
        <family val="3"/>
        <charset val="128"/>
        <scheme val="minor"/>
      </rPr>
      <t>と</t>
    </r>
    <r>
      <rPr>
        <sz val="11"/>
        <color rgb="FF000000"/>
        <rFont val="Aptos Narrow"/>
        <family val="2"/>
      </rPr>
      <t>1</t>
    </r>
    <r>
      <rPr>
        <sz val="11"/>
        <color rgb="FF000000"/>
        <rFont val="游ゴシック"/>
        <family val="3"/>
        <charset val="128"/>
        <scheme val="minor"/>
      </rPr>
      <t>の数を最速で数えるアルゴリズム」を学んできました。</t>
    </r>
  </si>
  <si>
    <t>しかし、最後にアーキテクトとして、もう一段高い「視座のジャンプ」をしてみましょう。</t>
  </si>
  <si>
    <r>
      <t>人間の複雑で生々しいアナログな内面（多変量）を、</t>
    </r>
    <r>
      <rPr>
        <sz val="11"/>
        <color rgb="FF000000"/>
        <rFont val="Aptos Narrow"/>
        <family val="2"/>
      </rPr>
      <t>100</t>
    </r>
    <r>
      <rPr>
        <sz val="11"/>
        <color rgb="FF000000"/>
        <rFont val="游ゴシック"/>
        <family val="3"/>
        <charset val="128"/>
        <scheme val="minor"/>
      </rPr>
      <t>桁の</t>
    </r>
    <r>
      <rPr>
        <sz val="11"/>
        <color rgb="FF000000"/>
        <rFont val="Aptos Narrow"/>
        <family val="2"/>
      </rPr>
      <t>0</t>
    </r>
    <r>
      <rPr>
        <sz val="11"/>
        <color rgb="FF000000"/>
        <rFont val="游ゴシック"/>
        <family val="3"/>
        <charset val="128"/>
        <scheme val="minor"/>
      </rPr>
      <t>と</t>
    </r>
    <r>
      <rPr>
        <sz val="11"/>
        <color rgb="FF000000"/>
        <rFont val="Aptos Narrow"/>
        <family val="2"/>
      </rPr>
      <t>1</t>
    </r>
    <r>
      <rPr>
        <sz val="11"/>
        <color rgb="FF000000"/>
        <rFont val="游ゴシック"/>
        <family val="3"/>
        <charset val="128"/>
        <scheme val="minor"/>
      </rPr>
      <t>のビット列に落とし込む。</t>
    </r>
  </si>
  <si>
    <t>これだけでは、ただのカチカチとした不連続なデジタルデータです。</t>
  </si>
  <si>
    <r>
      <t>しかし、ここに「ハミング距離（何箇所食い違っているか）」というルール（公理）を</t>
    </r>
    <r>
      <rPr>
        <sz val="11"/>
        <color rgb="FF000000"/>
        <rFont val="Aptos Narrow"/>
        <family val="2"/>
      </rPr>
      <t>1</t>
    </r>
    <r>
      <rPr>
        <sz val="11"/>
        <color rgb="FF000000"/>
        <rFont val="游ゴシック"/>
        <family val="3"/>
        <charset val="128"/>
        <scheme val="minor"/>
      </rPr>
      <t>本通した瞬間、</t>
    </r>
  </si>
  <si>
    <r>
      <t>そのデータ空間に「三角形の</t>
    </r>
    <r>
      <rPr>
        <sz val="11"/>
        <color rgb="FF000000"/>
        <rFont val="Aptos Narrow"/>
        <family val="2"/>
      </rPr>
      <t>2</t>
    </r>
    <r>
      <rPr>
        <sz val="11"/>
        <color rgb="FF000000"/>
        <rFont val="游ゴシック"/>
        <family val="3"/>
        <charset val="128"/>
        <scheme val="minor"/>
      </rPr>
      <t>辺の和は他の一辺より大きい（三角不等式）」のような、</t>
    </r>
  </si>
  <si>
    <t>例えば、「内向的」「芸術肌」という大きな性質の網（近傍系）をかけたとき、</t>
  </si>
  <si>
    <r>
      <t>~ AI</t>
    </r>
    <r>
      <rPr>
        <b/>
        <sz val="11"/>
        <color rgb="FF000000"/>
        <rFont val="游ゴシック"/>
        <family val="3"/>
        <charset val="128"/>
        <scheme val="minor"/>
      </rPr>
      <t>との協調作業（共生）に必要となる、もう一つの『物差し』 ~</t>
    </r>
  </si>
  <si>
    <r>
      <t>私たちが</t>
    </r>
    <r>
      <rPr>
        <sz val="11"/>
        <color rgb="FF000000"/>
        <rFont val="Aptos Narrow"/>
        <family val="2"/>
      </rPr>
      <t>100</t>
    </r>
    <r>
      <rPr>
        <sz val="11"/>
        <color rgb="FF000000"/>
        <rFont val="游ゴシック"/>
        <family val="3"/>
        <charset val="128"/>
        <scheme val="minor"/>
      </rPr>
      <t>問の相性診断の「はい（</t>
    </r>
    <r>
      <rPr>
        <sz val="11"/>
        <color rgb="FF000000"/>
        <rFont val="Aptos Narrow"/>
        <family val="2"/>
      </rPr>
      <t>1</t>
    </r>
    <r>
      <rPr>
        <sz val="11"/>
        <color rgb="FF000000"/>
        <rFont val="游ゴシック"/>
        <family val="3"/>
        <charset val="128"/>
        <scheme val="minor"/>
      </rPr>
      <t>）／いいえ（</t>
    </r>
    <r>
      <rPr>
        <sz val="11"/>
        <color rgb="FF000000"/>
        <rFont val="Aptos Narrow"/>
        <family val="2"/>
      </rPr>
      <t>0</t>
    </r>
    <r>
      <rPr>
        <sz val="11"/>
        <color rgb="FF000000"/>
        <rFont val="游ゴシック"/>
        <family val="3"/>
        <charset val="128"/>
        <scheme val="minor"/>
      </rPr>
      <t>）」で人との相性を測るとき、</t>
    </r>
    <rPh sb="9" eb="11">
      <t>アイショウ</t>
    </rPh>
    <phoneticPr fontId="2"/>
  </si>
  <si>
    <t>使っているのは単なる「算数の足し算、引き算」ではありません。</t>
    <rPh sb="14" eb="15">
      <t>タ</t>
    </rPh>
    <rPh sb="16" eb="17">
      <t>ザン</t>
    </rPh>
    <phoneticPr fontId="2"/>
  </si>
  <si>
    <r>
      <t xml:space="preserve">### 2. </t>
    </r>
    <r>
      <rPr>
        <b/>
        <sz val="11"/>
        <color rgb="FF000000"/>
        <rFont val="游ゴシック"/>
        <family val="3"/>
        <charset val="128"/>
        <scheme val="minor"/>
      </rPr>
      <t>数値を捨てて「位相（近さの本質）」へ</t>
    </r>
    <phoneticPr fontId="2"/>
  </si>
  <si>
    <r>
      <t xml:space="preserve">### 3. </t>
    </r>
    <r>
      <rPr>
        <b/>
        <sz val="11"/>
        <color rgb="FF000000"/>
        <rFont val="游ゴシック"/>
        <family val="3"/>
        <charset val="128"/>
        <scheme val="minor"/>
      </rPr>
      <t>デジタルとアナログを繋ぐ「道」、そして</t>
    </r>
    <r>
      <rPr>
        <b/>
        <sz val="11"/>
        <color rgb="FF000000"/>
        <rFont val="Aptos Narrow"/>
        <family val="2"/>
      </rPr>
      <t>AI</t>
    </r>
    <r>
      <rPr>
        <b/>
        <sz val="11"/>
        <color rgb="FF000000"/>
        <rFont val="游ゴシック"/>
        <family val="3"/>
        <charset val="128"/>
        <scheme val="minor"/>
      </rPr>
      <t>との協調へ</t>
    </r>
    <phoneticPr fontId="2"/>
  </si>
  <si>
    <t>現代のマッチングアプリや、最先端AIの認知システム（特徴量クラスタリング）の裏側で動いている物差しの正体は、</t>
    <phoneticPr fontId="2"/>
  </si>
  <si>
    <r>
      <t>そして、これから</t>
    </r>
    <r>
      <rPr>
        <sz val="11"/>
        <color rgb="FF000000"/>
        <rFont val="Aptos Narrow"/>
        <family val="2"/>
      </rPr>
      <t>AI</t>
    </r>
    <r>
      <rPr>
        <sz val="11"/>
        <color rgb="FF000000"/>
        <rFont val="游ゴシック"/>
        <family val="3"/>
        <charset val="128"/>
        <scheme val="minor"/>
      </rPr>
      <t>と協調作業（共生）をしていく上で、この「位相の近さ」の感覚は絶対に不可欠になります。</t>
    </r>
    <phoneticPr fontId="2"/>
  </si>
  <si>
    <r>
      <t>なぜなら、最先端の生成</t>
    </r>
    <r>
      <rPr>
        <sz val="11"/>
        <color rgb="FF000000"/>
        <rFont val="Aptos Narrow"/>
        <family val="2"/>
      </rPr>
      <t>AI</t>
    </r>
    <r>
      <rPr>
        <sz val="11"/>
        <color rgb="FF000000"/>
        <rFont val="游ゴシック"/>
        <family val="3"/>
        <charset val="128"/>
        <scheme val="minor"/>
      </rPr>
      <t>（</t>
    </r>
    <r>
      <rPr>
        <sz val="11"/>
        <color rgb="FF000000"/>
        <rFont val="Aptos Narrow"/>
        <family val="2"/>
      </rPr>
      <t>LLM</t>
    </r>
    <r>
      <rPr>
        <sz val="11"/>
        <color rgb="FF000000"/>
        <rFont val="游ゴシック"/>
        <family val="3"/>
        <charset val="128"/>
        <scheme val="minor"/>
      </rPr>
      <t>）もまた、人間の曖昧な言葉や思考（アナログ）を、</t>
    </r>
    <rPh sb="25" eb="27">
      <t>アイマイ</t>
    </rPh>
    <rPh sb="31" eb="33">
      <t>シコウ</t>
    </rPh>
    <phoneticPr fontId="2"/>
  </si>
  <si>
    <r>
      <t xml:space="preserve">### 1. </t>
    </r>
    <r>
      <rPr>
        <b/>
        <sz val="11"/>
        <color rgb="FF000000"/>
        <rFont val="Aptos Narrow"/>
        <family val="2"/>
      </rPr>
      <t>0</t>
    </r>
    <r>
      <rPr>
        <b/>
        <sz val="11"/>
        <color rgb="FF000000"/>
        <rFont val="游ゴシック"/>
        <family val="3"/>
        <charset val="128"/>
        <scheme val="minor"/>
      </rPr>
      <t>と</t>
    </r>
    <r>
      <rPr>
        <b/>
        <sz val="11"/>
        <color rgb="FF000000"/>
        <rFont val="Aptos Narrow"/>
        <family val="2"/>
      </rPr>
      <t>1</t>
    </r>
    <r>
      <rPr>
        <b/>
        <sz val="11"/>
        <color rgb="FF000000"/>
        <rFont val="游ゴシック"/>
        <family val="3"/>
        <charset val="128"/>
        <scheme val="minor"/>
      </rPr>
      <t>の羅列から「距離」が生まれる瞬間</t>
    </r>
    <rPh sb="11" eb="13">
      <t>ラレツ</t>
    </rPh>
    <phoneticPr fontId="2"/>
  </si>
  <si>
    <t>近い遠いを示す距離の概念が立ち上がります。</t>
    <phoneticPr fontId="2"/>
  </si>
  <si>
    <r>
      <t>A</t>
    </r>
    <r>
      <rPr>
        <sz val="11"/>
        <color rgb="FF000000"/>
        <rFont val="游ゴシック"/>
        <family val="3"/>
        <charset val="128"/>
        <scheme val="minor"/>
      </rPr>
      <t>さんと</t>
    </r>
    <r>
      <rPr>
        <sz val="11"/>
        <color rgb="FF000000"/>
        <rFont val="Aptos Narrow"/>
        <family val="2"/>
      </rPr>
      <t>B</t>
    </r>
    <r>
      <rPr>
        <sz val="11"/>
        <color rgb="FF000000"/>
        <rFont val="游ゴシック"/>
        <family val="3"/>
        <charset val="128"/>
        <scheme val="minor"/>
      </rPr>
      <t>さんが常に同じ集団のなかに含まれているのであれば、</t>
    </r>
    <rPh sb="12" eb="14">
      <t>シュウダン</t>
    </rPh>
    <rPh sb="18" eb="19">
      <t>フク</t>
    </rPh>
    <phoneticPr fontId="2"/>
  </si>
  <si>
    <t xml:space="preserve"> 6つのアプローチ：解析ベンチマーク一覧</t>
    <phoneticPr fontId="2"/>
  </si>
  <si>
    <r>
      <t xml:space="preserve">① </t>
    </r>
    <r>
      <rPr>
        <b/>
        <sz val="11"/>
        <color theme="1"/>
        <rFont val="Courier New"/>
        <family val="3"/>
      </rPr>
      <t>numofbits1</t>
    </r>
    <r>
      <rPr>
        <b/>
        <sz val="11"/>
        <color theme="1"/>
        <rFont val="游ゴシック"/>
        <family val="2"/>
        <charset val="128"/>
        <scheme val="minor"/>
      </rPr>
      <t>（力まかせループ）</t>
    </r>
  </si>
  <si>
    <t>maskを左に1ビットずつズラしながら、データ（bits）の全セクタ（32箇所）を順に探索していく、最もベタな方法です。</t>
    <rPh sb="43" eb="45">
      <t>タンサク</t>
    </rPh>
    <rPh sb="55" eb="57">
      <t>ホウホウ</t>
    </rPh>
    <phoneticPr fontId="2"/>
  </si>
  <si>
    <t>まず初めに誰もが思い付く方法です。</t>
    <rPh sb="2" eb="3">
      <t>ハジ</t>
    </rPh>
    <rPh sb="5" eb="6">
      <t>ダレ</t>
    </rPh>
    <rPh sb="8" eb="9">
      <t>オモ</t>
    </rPh>
    <rPh sb="10" eb="11">
      <t>ツ</t>
    </rPh>
    <rPh sb="12" eb="14">
      <t>ホウホウ</t>
    </rPh>
    <phoneticPr fontId="2"/>
  </si>
  <si>
    <t>しかし、これは「1が1個しか立っていなくても、</t>
    <phoneticPr fontId="2"/>
  </si>
  <si>
    <t>また専用回路がある場合のpopcnt関数を利用した方法でも測定しています。</t>
    <rPh sb="2" eb="4">
      <t>センヨウ</t>
    </rPh>
    <rPh sb="4" eb="6">
      <t>カイロ</t>
    </rPh>
    <rPh sb="9" eb="11">
      <t>バアイ</t>
    </rPh>
    <rPh sb="18" eb="20">
      <t>カンスウ</t>
    </rPh>
    <rPh sb="21" eb="23">
      <t>リヨウ</t>
    </rPh>
    <rPh sb="25" eb="27">
      <t>ホウホウ</t>
    </rPh>
    <rPh sb="29" eb="31">
      <t>ソクテイ</t>
    </rPh>
    <phoneticPr fontId="2"/>
  </si>
  <si>
    <t>0〜255までの数値（1バイト）の中に、</t>
    <phoneticPr fontId="2"/>
  </si>
  <si>
    <t xml:space="preserve">【解説】 </t>
    <phoneticPr fontId="2"/>
  </si>
  <si>
    <t>それぞれ「1が何個立っているか」をあらかじめ計算し、</t>
    <phoneticPr fontId="2"/>
  </si>
  <si>
    <t>256個の配列（BITS_COUNT_TABLE）をメモリにおきます。</t>
  </si>
  <si>
    <t>32ビット（4バイト）のデータを、1バイトずつ4回に分けて</t>
    <phoneticPr fontId="2"/>
  </si>
  <si>
    <t>こちらも有効な手法として、①以外ですぐに考えられると思います。</t>
    <rPh sb="4" eb="6">
      <t>ユウコウ</t>
    </rPh>
    <rPh sb="7" eb="9">
      <t>シュホウ</t>
    </rPh>
    <rPh sb="14" eb="16">
      <t>イガイ</t>
    </rPh>
    <rPh sb="20" eb="21">
      <t>カンガ</t>
    </rPh>
    <rPh sb="26" eb="27">
      <t>オモ</t>
    </rPh>
    <phoneticPr fontId="2"/>
  </si>
  <si>
    <t>という数理的性質を利用しています。</t>
  </si>
  <si>
    <t>【解説】</t>
    <phoneticPr fontId="2"/>
  </si>
  <si>
    <t>bits - 1 を計算して元の bits と論理積（&amp;）をとると、</t>
    <phoneticPr fontId="2"/>
  </si>
  <si>
    <t>「一番右側にある『1』だけが消去される」</t>
    <phoneticPr fontId="2"/>
  </si>
  <si>
    <t>1が3つしか無かった場合、方法①は100回全部確認しますが、</t>
    <phoneticPr fontId="2"/>
  </si>
  <si>
    <t>データがスカスカ（疎）な場合、劇的な効果を生みます。</t>
    <phoneticPr fontId="2"/>
  </si>
  <si>
    <t>このカーニハン流なら「1が立っている場所だけを狙い撃ちして、3回のループで終了」します。</t>
    <phoneticPr fontId="2"/>
  </si>
  <si>
    <t>剰余演算（% 077）で一気にビットを回収する、アール・ブリュット（生の芸術）的コード。</t>
    <phoneticPr fontId="2"/>
  </si>
  <si>
    <t>numofbits4 (HAKMEMの魔術)</t>
    <phoneticPr fontId="2"/>
  </si>
  <si>
    <t>④numofbits4 (HAKMEMの魔術)</t>
    <phoneticPr fontId="2"/>
  </si>
  <si>
    <t>これは3ビットごとの数値で考えると分かりやすいです。</t>
    <rPh sb="10" eb="12">
      <t>スウチ</t>
    </rPh>
    <rPh sb="13" eb="14">
      <t>カンガ</t>
    </rPh>
    <rPh sb="17" eb="18">
      <t>ワ</t>
    </rPh>
    <phoneticPr fontId="2"/>
  </si>
  <si>
    <t>※0333333333、0707070707、077は8進数であることに注意</t>
    <rPh sb="27" eb="29">
      <t>シンスウ</t>
    </rPh>
    <rPh sb="35" eb="37">
      <t>チュウイ</t>
    </rPh>
    <phoneticPr fontId="2"/>
  </si>
  <si>
    <t>元のビット列が・・・101であるとする</t>
    <rPh sb="0" eb="1">
      <t>モト</t>
    </rPh>
    <rPh sb="5" eb="6">
      <t>レツ</t>
    </rPh>
    <phoneticPr fontId="2"/>
  </si>
  <si>
    <t>右シフトと&amp; 03333333333マスクにより・・・101→010</t>
    <rPh sb="0" eb="1">
      <t>ミギ</t>
    </rPh>
    <phoneticPr fontId="2"/>
  </si>
  <si>
    <t>元の数から1回右シフトした数とさらに1回右シフト&amp;マスクした数を引く・・・101-010-001=010</t>
    <rPh sb="0" eb="1">
      <t>モト</t>
    </rPh>
    <rPh sb="2" eb="3">
      <t>カズ</t>
    </rPh>
    <rPh sb="6" eb="7">
      <t>カイ</t>
    </rPh>
    <rPh sb="13" eb="14">
      <t>カズ</t>
    </rPh>
    <rPh sb="19" eb="20">
      <t>カイ</t>
    </rPh>
    <rPh sb="20" eb="21">
      <t>ミギ</t>
    </rPh>
    <rPh sb="30" eb="31">
      <t>カズ</t>
    </rPh>
    <phoneticPr fontId="2"/>
  </si>
  <si>
    <t>※今最下位3ビットに着目しているが、その上位のビットはマスクにより消されていく</t>
    <rPh sb="1" eb="2">
      <t>イマ</t>
    </rPh>
    <rPh sb="2" eb="5">
      <t>サイカイ</t>
    </rPh>
    <rPh sb="10" eb="12">
      <t>チャクモク</t>
    </rPh>
    <rPh sb="20" eb="22">
      <t>ジョウイ</t>
    </rPh>
    <rPh sb="33" eb="34">
      <t>ケ</t>
    </rPh>
    <phoneticPr fontId="2"/>
  </si>
  <si>
    <t>この010が最下位3桁のビットの数となっており、3ビットずつの値が3ビットの中でのそれぞれのビットカウント数となります。</t>
    <rPh sb="6" eb="9">
      <t>サイカイ</t>
    </rPh>
    <rPh sb="10" eb="11">
      <t>ケタ</t>
    </rPh>
    <rPh sb="16" eb="17">
      <t>カズ</t>
    </rPh>
    <rPh sb="31" eb="32">
      <t>アタイ</t>
    </rPh>
    <rPh sb="38" eb="39">
      <t>ナカ</t>
    </rPh>
    <rPh sb="53" eb="54">
      <t>スウ</t>
    </rPh>
    <phoneticPr fontId="2"/>
  </si>
  <si>
    <t>A</t>
    <phoneticPr fontId="2"/>
  </si>
  <si>
    <t>B</t>
    <phoneticPr fontId="2"/>
  </si>
  <si>
    <t>C</t>
    <phoneticPr fontId="2"/>
  </si>
  <si>
    <t>D</t>
    <phoneticPr fontId="2"/>
  </si>
  <si>
    <t>E</t>
    <phoneticPr fontId="2"/>
  </si>
  <si>
    <t>F</t>
    <phoneticPr fontId="2"/>
  </si>
  <si>
    <t>numの値</t>
    <rPh sb="4" eb="5">
      <t>アタイ</t>
    </rPh>
    <phoneticPr fontId="2"/>
  </si>
  <si>
    <t>※A・・Fがそれぞれの3ビットでのビットカウント数</t>
    <rPh sb="24" eb="25">
      <t>スウ</t>
    </rPh>
    <phoneticPr fontId="2"/>
  </si>
  <si>
    <t>numを3ビットシフト</t>
    <phoneticPr fontId="2"/>
  </si>
  <si>
    <t>これを加算して070707070707でマスクすると</t>
    <rPh sb="3" eb="5">
      <t>カサン</t>
    </rPh>
    <phoneticPr fontId="2"/>
  </si>
  <si>
    <t>A+B</t>
    <phoneticPr fontId="2"/>
  </si>
  <si>
    <t>C+D</t>
    <phoneticPr fontId="2"/>
  </si>
  <si>
    <t>E+F</t>
    <phoneticPr fontId="2"/>
  </si>
  <si>
    <r>
      <t>※1つの</t>
    </r>
    <r>
      <rPr>
        <sz val="11"/>
        <color theme="1"/>
        <rFont val="Microsoft JhengHei"/>
        <family val="2"/>
        <charset val="128"/>
      </rPr>
      <t>罫線で区分されたのが</t>
    </r>
    <r>
      <rPr>
        <sz val="11"/>
        <color theme="1"/>
        <rFont val="游ゴシック"/>
        <family val="2"/>
        <charset val="128"/>
      </rPr>
      <t>3ビットずつの塊です</t>
    </r>
    <rPh sb="4" eb="6">
      <t>ケイセン</t>
    </rPh>
    <rPh sb="7" eb="9">
      <t>クブン</t>
    </rPh>
    <rPh sb="21" eb="22">
      <t>カタマリ</t>
    </rPh>
    <phoneticPr fontId="2"/>
  </si>
  <si>
    <t>※ここでの1つの罫線で囲まれた枠は6ビットの塊になる</t>
    <rPh sb="8" eb="10">
      <t>ケイセン</t>
    </rPh>
    <rPh sb="11" eb="12">
      <t>カコ</t>
    </rPh>
    <rPh sb="15" eb="16">
      <t>ワク</t>
    </rPh>
    <rPh sb="22" eb="23">
      <t>カタマリ</t>
    </rPh>
    <phoneticPr fontId="2"/>
  </si>
  <si>
    <t>剰余演算（% 077）により、A+B+C+D+E+Fとなる。</t>
    <phoneticPr fontId="2"/>
  </si>
  <si>
    <t>※（A+B）＊（077）^2+（A+B）+（C+D）＊（077）+（C+D）+（A+B）％（077）となっている</t>
    <phoneticPr fontId="2"/>
  </si>
  <si>
    <t>一気にビットを回収する、ある意味アール・ブリュット（生の芸術）的なコード。</t>
    <phoneticPr fontId="2"/>
  </si>
  <si>
    <t>32ビットの空間を、まず「2ビットずつの部屋（16ペア）」に区切り、</t>
  </si>
  <si>
    <t>隣同士の1の数を一斉に足し算します（0x5555...は010101...という網の目マスク）。</t>
  </si>
  <si>
    <t>次は4ビット、次は8ビット…と、トーナメント戦のように一瞬で全ビットを並列集計します。</t>
  </si>
  <si>
    <t>この一直線に突き抜ける並列処理は、絶対に遅延が許されないエッジAI認知エンジンのための「構造設計」です。</t>
  </si>
  <si>
    <t xml:space="preserve"> for や while といったループ（条件分岐）を一切使いません。</t>
    <phoneticPr fontId="2"/>
  </si>
  <si>
    <t>これは論理回路としてハードウェアで実装、または内部回路として保持している場合、popcnt関数として使用出来ます。</t>
    <rPh sb="3" eb="5">
      <t>ロンリ</t>
    </rPh>
    <rPh sb="5" eb="7">
      <t>カイロ</t>
    </rPh>
    <rPh sb="17" eb="19">
      <t>ジッソウ</t>
    </rPh>
    <rPh sb="23" eb="25">
      <t>ナイブ</t>
    </rPh>
    <rPh sb="25" eb="27">
      <t>カイロ</t>
    </rPh>
    <rPh sb="30" eb="32">
      <t>ホジ</t>
    </rPh>
    <rPh sb="36" eb="38">
      <t>バアイ</t>
    </rPh>
    <rPh sb="45" eb="47">
      <t>カンスウ</t>
    </rPh>
    <rPh sb="50" eb="52">
      <t>シヨウ</t>
    </rPh>
    <rPh sb="52" eb="54">
      <t>デキ</t>
    </rPh>
    <phoneticPr fontId="2"/>
  </si>
  <si>
    <t>必ず32回ループを回す」という、CPU時間を浪費する構造です</t>
    <phoneticPr fontId="2"/>
  </si>
  <si>
    <t>「テーブルを参照する」だけで答えを出します。</t>
    <rPh sb="6" eb="8">
      <t>サンショウ</t>
    </rPh>
    <phoneticPr fontId="2"/>
  </si>
  <si>
    <t>【まとめ】AI時代を生き抜く、アーキテクトの心構え</t>
  </si>
  <si>
    <t>さまざまなケース（制約条件）に応じて、引き出し（別解）の中から</t>
  </si>
  <si>
    <t>最適なものを提示できるのが、本物のアーキテクトの仕事です。</t>
  </si>
  <si>
    <t>• 「AIの論理をそのままトレースするだけでは、潜んでいる不具合（バグ）を発見できない」</t>
  </si>
  <si>
    <t>生半可な知識では、AIの圧倒的な物量と速度に勝てるわけがありません。</t>
  </si>
  <si>
    <t>しかし、AIが提示した「一見正しそうなコード（擬似解）」に対して、</t>
  </si>
  <si>
    <t>「別解との一致を検証する力」や「他の方法論（テーブル参照や並列化）を検討できる視点」を持っていれば、</t>
  </si>
  <si>
    <t>何より、このように一つの問題に対して「いろんな考え方が出来ること」、</t>
  </si>
  <si>
    <t>これからのAI共生時代を軽やかにサバイバルしていくための、人間の知性の輝きなのです</t>
  </si>
  <si>
    <t>ハードウェア環境に popcnt 命令があればそれを使えばいいし、</t>
    <phoneticPr fontId="2"/>
  </si>
  <si>
    <t>速度を重視せず、人が読んだ時の分かりやすさを最優先するなら、ベタな for ループ（①）で回せばいいのです。</t>
    <phoneticPr fontId="2"/>
  </si>
  <si>
    <t>AIの出力をデバッグし、自分だけでは出来ない場合は、AIに更に違う解法を出力させることも必要かもしれません。</t>
    <rPh sb="12" eb="14">
      <t>ジブン</t>
    </rPh>
    <rPh sb="18" eb="20">
      <t>デキ</t>
    </rPh>
    <rPh sb="22" eb="24">
      <t>バアイ</t>
    </rPh>
    <rPh sb="29" eb="30">
      <t>サラ</t>
    </rPh>
    <rPh sb="31" eb="32">
      <t>チガ</t>
    </rPh>
    <rPh sb="33" eb="35">
      <t>カイホウ</t>
    </rPh>
    <rPh sb="36" eb="38">
      <t>シュツリョク</t>
    </rPh>
    <rPh sb="44" eb="46">
      <t>ヒツヨウ</t>
    </rPh>
    <phoneticPr fontId="2"/>
  </si>
  <si>
    <t>複数の視点、別解との一致を行うことにより、信頼性へと引き上げることができます。</t>
    <rPh sb="0" eb="2">
      <t>フクスウ</t>
    </rPh>
    <rPh sb="3" eb="5">
      <t>シテン</t>
    </rPh>
    <rPh sb="6" eb="7">
      <t>ベツ</t>
    </rPh>
    <rPh sb="7" eb="8">
      <t>カイ</t>
    </rPh>
    <rPh sb="10" eb="12">
      <t>イッチ</t>
    </rPh>
    <rPh sb="13" eb="14">
      <t>オコナ</t>
    </rPh>
    <rPh sb="21" eb="23">
      <t>シンライ</t>
    </rPh>
    <phoneticPr fontId="2"/>
  </si>
  <si>
    <t>その数理の美しさや別解の可能性に触れて心から楽しむ姿勢こそが、</t>
    <phoneticPr fontId="2"/>
  </si>
  <si>
    <t>各解法について、googleのAIモード、copilot、chatGPT、Claudeに解説させた</t>
    <rPh sb="0" eb="1">
      <t>カク</t>
    </rPh>
    <rPh sb="1" eb="3">
      <t>カイホウ</t>
    </rPh>
    <rPh sb="44" eb="46">
      <t>カイセツ</t>
    </rPh>
    <phoneticPr fontId="2"/>
  </si>
  <si>
    <t>検索でも方法4については、丁寧に解説している資料は見つからなかった。</t>
    <rPh sb="0" eb="2">
      <t>ケンサク</t>
    </rPh>
    <rPh sb="4" eb="6">
      <t>ホウホウ</t>
    </rPh>
    <rPh sb="13" eb="15">
      <t>テイネイ</t>
    </rPh>
    <rPh sb="16" eb="18">
      <t>カイセツ</t>
    </rPh>
    <rPh sb="22" eb="24">
      <t>シリョウ</t>
    </rPh>
    <rPh sb="25" eb="26">
      <t>ミ</t>
    </rPh>
    <phoneticPr fontId="2"/>
  </si>
  <si>
    <t>以下が各AIが解答した方法4についての内容である。</t>
    <rPh sb="0" eb="2">
      <t>イカ</t>
    </rPh>
    <rPh sb="3" eb="4">
      <t>カク</t>
    </rPh>
    <rPh sb="7" eb="9">
      <t>カイトウ</t>
    </rPh>
    <rPh sb="11" eb="13">
      <t>ホウホウ</t>
    </rPh>
    <rPh sb="19" eb="21">
      <t>ナイヨウ</t>
    </rPh>
    <phoneticPr fontId="2"/>
  </si>
  <si>
    <t>②隣り合う3ビットの値を和とマスクにより、6ビットごとの個数にする</t>
    <rPh sb="1" eb="2">
      <t>トナ</t>
    </rPh>
    <rPh sb="3" eb="4">
      <t>ア</t>
    </rPh>
    <rPh sb="10" eb="11">
      <t>アタイ</t>
    </rPh>
    <rPh sb="12" eb="13">
      <t>ワ</t>
    </rPh>
    <rPh sb="28" eb="30">
      <t>コスウ</t>
    </rPh>
    <phoneticPr fontId="2"/>
  </si>
  <si>
    <t>【ベンチマーク】</t>
    <phoneticPr fontId="2"/>
  </si>
  <si>
    <t>【ベンチマークの意図】</t>
    <rPh sb="8" eb="10">
      <t>イト</t>
    </rPh>
    <phoneticPr fontId="2"/>
  </si>
  <si>
    <t>①3ビットごとの1の個数を差とマスクにより数え上げる</t>
    <rPh sb="10" eb="12">
      <t>コスウ</t>
    </rPh>
    <rPh sb="13" eb="14">
      <t>サ</t>
    </rPh>
    <rPh sb="21" eb="22">
      <t>カゾ</t>
    </rPh>
    <rPh sb="23" eb="24">
      <t>ア</t>
    </rPh>
    <phoneticPr fontId="2"/>
  </si>
  <si>
    <t>AIは大量のデータベースを持ってはいるが、あまりデータ数の無いものについては解説が上手く出来ないことが分かる。</t>
    <rPh sb="3" eb="5">
      <t>タイリョウ</t>
    </rPh>
    <rPh sb="13" eb="14">
      <t>モ</t>
    </rPh>
    <rPh sb="27" eb="28">
      <t>スウ</t>
    </rPh>
    <rPh sb="29" eb="30">
      <t>ナ</t>
    </rPh>
    <rPh sb="38" eb="40">
      <t>カイセツ</t>
    </rPh>
    <rPh sb="41" eb="43">
      <t>ウマ</t>
    </rPh>
    <rPh sb="44" eb="46">
      <t>デキ</t>
    </rPh>
    <rPh sb="51" eb="52">
      <t>ワ</t>
    </rPh>
    <phoneticPr fontId="2"/>
  </si>
  <si>
    <t>【各AIを人に例えると】</t>
    <rPh sb="1" eb="2">
      <t>カク</t>
    </rPh>
    <rPh sb="5" eb="6">
      <t>ヒト</t>
    </rPh>
    <rPh sb="7" eb="8">
      <t>タト</t>
    </rPh>
    <phoneticPr fontId="2"/>
  </si>
  <si>
    <t>googleのAIモード</t>
    <phoneticPr fontId="2"/>
  </si>
  <si>
    <t>copilot</t>
    <phoneticPr fontId="2"/>
  </si>
  <si>
    <t>ChatGPT</t>
    <phoneticPr fontId="2"/>
  </si>
  <si>
    <t>Claude</t>
    <phoneticPr fontId="2"/>
  </si>
  <si>
    <t>当たり障りのないことは言えるが、凡庸な人物、これからの成長に期待する</t>
    <rPh sb="0" eb="1">
      <t>ア</t>
    </rPh>
    <rPh sb="3" eb="4">
      <t>サワ</t>
    </rPh>
    <rPh sb="11" eb="12">
      <t>イ</t>
    </rPh>
    <rPh sb="16" eb="18">
      <t>ボンヨウ</t>
    </rPh>
    <rPh sb="19" eb="21">
      <t>ジンブツ</t>
    </rPh>
    <rPh sb="27" eb="29">
      <t>セイチョウ</t>
    </rPh>
    <rPh sb="30" eb="32">
      <t>キタイ</t>
    </rPh>
    <phoneticPr fontId="2"/>
  </si>
  <si>
    <t>【まとめ】</t>
    <phoneticPr fontId="2"/>
  </si>
  <si>
    <t>人間の遊び心が産んだ、たった4行のHAKMEMのコード（方法4）の前に、</t>
  </si>
  <si>
    <t>現代のAIの本質は、言葉の「意味（セマンティクス）」を理解しているのではなく、</t>
  </si>
  <si>
    <t>過去のログから「確率的にそれっぽい言葉」を並べているに過ぎません。</t>
  </si>
  <si>
    <t>このテストの最大の結果（ログ）は、「どれだけ大量のデータベースを持つ優秀なAIであっても、</t>
    <rPh sb="34" eb="36">
      <t>ユウシュウ</t>
    </rPh>
    <phoneticPr fontId="2"/>
  </si>
  <si>
    <t>自力で100点の解説を導き出せず、的外れな解説や沈黙を出したという事実にあります。</t>
    <rPh sb="8" eb="10">
      <t>カイセツ</t>
    </rPh>
    <phoneticPr fontId="2"/>
  </si>
  <si>
    <t>だからこそ、過去の学習データが極端に少ない領域や、人間の遊び心の極致である別解に出会うと、</t>
    <phoneticPr fontId="2"/>
  </si>
  <si>
    <t xml:space="preserve">
【発展課題】データが「巨大化（多倍長）」したらどうする？
</t>
    <phoneticPr fontId="2"/>
  </si>
  <si>
    <t>~ 1024ビットの巨大データを処理すると ~</t>
    <phoneticPr fontId="2"/>
  </si>
  <si>
    <t>これまでは32ビット（または64ビット）という、身近なPCのCPUが一度に処理できるサイズで考えてきました。</t>
  </si>
  <si>
    <t>設計（アーキテクチャ）はどう変わるでしょうか？</t>
  </si>
  <si>
    <t>では、もし「質問が1000問ある超巨大性格診断」や、</t>
    <phoneticPr fontId="2"/>
  </si>
  <si>
    <t>「自動運転AIが扱う1024ビットのパケット」を処理することになったら、</t>
    <phoneticPr fontId="2"/>
  </si>
  <si>
    <t>基本的には64ビット（一部の最新SIMD命令でも256/512ビット）が限界です。</t>
  </si>
  <si>
    <t>1024ビットを処理するには、データを何回も分割して、何回も命令を呼び出す必要があります。</t>
  </si>
  <si>
    <t>1バイト（8ビット）ずつ区切って辞書を引く方法です。32ビットなら4回で済みますが、1024ビット（128バイト）になると、</t>
  </si>
  <si>
    <t>② テーブル処理の限界：</t>
    <rPh sb="6" eb="8">
      <t>ショリ</t>
    </rPh>
    <phoneticPr fontId="2"/>
  </si>
  <si>
    <t>「128回もループを回してメモリにアクセスする」という、処理回数が必要になってしまいます</t>
    <phoneticPr fontId="2"/>
  </si>
  <si>
    <r>
      <rPr>
        <sz val="11"/>
        <color theme="1"/>
        <rFont val="Segoe UI Symbol"/>
        <family val="3"/>
      </rPr>
      <t>①</t>
    </r>
    <r>
      <rPr>
        <sz val="11"/>
        <color theme="1"/>
        <rFont val="游ゴシック"/>
        <family val="3"/>
        <charset val="128"/>
        <scheme val="minor"/>
      </rPr>
      <t xml:space="preserve"> popcnt の限界：</t>
    </r>
    <phoneticPr fontId="2"/>
  </si>
  <si>
    <t>巨大データのスケールnに対しての処理時間は、結局O(n)のスケールとなります。</t>
    <phoneticPr fontId="2"/>
  </si>
  <si>
    <t>小さな値、教科書的なレベルではpopcnt関数の利用や、テーブル引きは最速の解答でしたが、</t>
    <rPh sb="0" eb="1">
      <t>チイ</t>
    </rPh>
    <rPh sb="3" eb="4">
      <t>アタイ</t>
    </rPh>
    <rPh sb="5" eb="8">
      <t>キョウカショ</t>
    </rPh>
    <rPh sb="8" eb="9">
      <t>テキ</t>
    </rPh>
    <rPh sb="21" eb="23">
      <t>カンスウ</t>
    </rPh>
    <rPh sb="24" eb="26">
      <t>リヨウ</t>
    </rPh>
    <rPh sb="32" eb="33">
      <t>ヒ</t>
    </rPh>
    <rPh sb="35" eb="37">
      <t>サイソク</t>
    </rPh>
    <rPh sb="38" eb="40">
      <t>カイトウ</t>
    </rPh>
    <phoneticPr fontId="2"/>
  </si>
  <si>
    <t>特にCPUの物理回路として実装されている場合は最強の popcnt 命令ですが、</t>
    <rPh sb="0" eb="1">
      <t>トク</t>
    </rPh>
    <rPh sb="13" eb="15">
      <t>ジッソウ</t>
    </rPh>
    <rPh sb="20" eb="22">
      <t>バアイ</t>
    </rPh>
    <phoneticPr fontId="2"/>
  </si>
  <si>
    <t>これは逐次処理のforループよりましだが、計算スケールとしては同じO(n)のスケールです。</t>
    <rPh sb="3" eb="5">
      <t>チクジ</t>
    </rPh>
    <rPh sb="5" eb="7">
      <t>ショリ</t>
    </rPh>
    <rPh sb="21" eb="23">
      <t>ケイサン</t>
    </rPh>
    <rPh sb="31" eb="32">
      <t>オナ</t>
    </rPh>
    <phoneticPr fontId="2"/>
  </si>
  <si>
    <t>32ビットのコードでは、1ビット同士の足し算から始まり、2、4、8、16ビット…と5ステップで完了しました。</t>
  </si>
  <si>
    <t>これを、64ビット、128ビット、256ビットへと拡張すると、コードのステップ数はどうなるでしょうか？</t>
  </si>
  <si>
    <t>• 32ビット： 5ステップ</t>
  </si>
  <si>
    <t>• 128ビット： 7ステップ</t>
  </si>
  <si>
    <t>• 256ビット： 8ステップ</t>
  </si>
  <si>
    <t>• 512ビット： 9ステップ</t>
  </si>
  <si>
    <t>• 1024ビット： 10ステップ</t>
  </si>
  <si>
    <t xml:space="preserve">• 64ビット： 6ステップ </t>
    <phoneticPr fontId="2"/>
  </si>
  <si>
    <t>データの桁数が32倍（32ビット → 1024ビット）になっても、</t>
  </si>
  <si>
    <t>計算のステップ数はたったの2倍（5ステップ → 10ステップ）にしか増えません。</t>
  </si>
  <si>
    <t>popcnt</t>
    <phoneticPr fontId="2"/>
  </si>
  <si>
    <t>①for</t>
    <phoneticPr fontId="2"/>
  </si>
  <si>
    <t>②テーブル</t>
    <phoneticPr fontId="2"/>
  </si>
  <si>
    <t>⑤論理回路</t>
    <rPh sb="1" eb="3">
      <t>ロンリ</t>
    </rPh>
    <rPh sb="3" eb="5">
      <t>カイロ</t>
    </rPh>
    <phoneticPr fontId="2"/>
  </si>
  <si>
    <t>n</t>
    <phoneticPr fontId="2"/>
  </si>
  <si>
    <t>ここでは⑤ numofbits5（並列加算(分割統治)）の発想が最適解となります</t>
    <rPh sb="29" eb="31">
      <t>ハッソウ</t>
    </rPh>
    <rPh sb="32" eb="34">
      <t>サイテキ</t>
    </rPh>
    <rPh sb="34" eb="35">
      <t>カイ</t>
    </rPh>
    <phoneticPr fontId="2"/>
  </si>
  <si>
    <t>並列加算(分割統治)による処理は（O(log N)）の処理時間となります。</t>
    <rPh sb="0" eb="2">
      <t>ヘイレツ</t>
    </rPh>
    <rPh sb="2" eb="4">
      <t>カサン</t>
    </rPh>
    <rPh sb="5" eb="7">
      <t>ブンカツ</t>
    </rPh>
    <rPh sb="7" eb="9">
      <t>トウチ</t>
    </rPh>
    <rPh sb="13" eb="15">
      <t>ショリ</t>
    </rPh>
    <rPh sb="27" eb="29">
      <t>ショリ</t>
    </rPh>
    <rPh sb="29" eb="31">
      <t>ジカン</t>
    </rPh>
    <phoneticPr fontId="2"/>
  </si>
  <si>
    <t>右グラフは、桁数と処理時間を各方法で比較した概念的なグラフです。</t>
    <rPh sb="0" eb="1">
      <t>ミギ</t>
    </rPh>
    <rPh sb="6" eb="8">
      <t>ケタスウ</t>
    </rPh>
    <rPh sb="9" eb="11">
      <t>ショリ</t>
    </rPh>
    <rPh sb="11" eb="13">
      <t>ジカン</t>
    </rPh>
    <rPh sb="14" eb="15">
      <t>カク</t>
    </rPh>
    <rPh sb="15" eb="17">
      <t>ホウホウ</t>
    </rPh>
    <rPh sb="18" eb="20">
      <t>ヒカク</t>
    </rPh>
    <rPh sb="22" eb="25">
      <t>ガイネンテキ</t>
    </rPh>
    <phoneticPr fontId="2"/>
  </si>
  <si>
    <t>【まとめ】</t>
    <phoneticPr fontId="2"/>
  </si>
  <si>
    <t>これからのAIを利用してのコード作成では、定番、定型的な出力に対してのことも多いと思います。</t>
    <rPh sb="8" eb="10">
      <t>リヨウ</t>
    </rPh>
    <rPh sb="16" eb="18">
      <t>サクセイ</t>
    </rPh>
    <rPh sb="21" eb="23">
      <t>テイバン</t>
    </rPh>
    <rPh sb="24" eb="27">
      <t>テイケイテキ</t>
    </rPh>
    <rPh sb="28" eb="30">
      <t>シュツリョク</t>
    </rPh>
    <rPh sb="31" eb="32">
      <t>タイ</t>
    </rPh>
    <rPh sb="38" eb="39">
      <t>オオ</t>
    </rPh>
    <rPh sb="41" eb="42">
      <t>オモ</t>
    </rPh>
    <phoneticPr fontId="2"/>
  </si>
  <si>
    <t>何も考えずに出力されたものを利用するだけでなく、そこから発展した内容も考えて行くことが、</t>
    <rPh sb="0" eb="1">
      <t>ナニ</t>
    </rPh>
    <rPh sb="2" eb="3">
      <t>カンガ</t>
    </rPh>
    <rPh sb="6" eb="8">
      <t>シュツリョク</t>
    </rPh>
    <rPh sb="14" eb="16">
      <t>リヨウ</t>
    </rPh>
    <rPh sb="28" eb="30">
      <t>ハッテン</t>
    </rPh>
    <rPh sb="32" eb="34">
      <t>ナイヨウ</t>
    </rPh>
    <rPh sb="35" eb="36">
      <t>カンガ</t>
    </rPh>
    <rPh sb="38" eb="39">
      <t>イ</t>
    </rPh>
    <phoneticPr fontId="2"/>
  </si>
  <si>
    <t>自分の経験、知識を深めていく契機になること、その時に全ての解答が出なかったとしても、</t>
    <rPh sb="0" eb="2">
      <t>ジブン</t>
    </rPh>
    <rPh sb="3" eb="5">
      <t>ケイケン</t>
    </rPh>
    <rPh sb="6" eb="8">
      <t>チシキ</t>
    </rPh>
    <rPh sb="9" eb="10">
      <t>フカ</t>
    </rPh>
    <rPh sb="14" eb="16">
      <t>ケイキ</t>
    </rPh>
    <rPh sb="24" eb="25">
      <t>トキ</t>
    </rPh>
    <rPh sb="26" eb="27">
      <t>スベ</t>
    </rPh>
    <rPh sb="29" eb="31">
      <t>カイトウ</t>
    </rPh>
    <rPh sb="32" eb="33">
      <t>デ</t>
    </rPh>
    <phoneticPr fontId="2"/>
  </si>
  <si>
    <t>解決の道筋を見つける一助になることを願っています。</t>
    <rPh sb="0" eb="2">
      <t>カイケツ</t>
    </rPh>
    <rPh sb="3" eb="5">
      <t>ミチスジ</t>
    </rPh>
    <rPh sb="6" eb="7">
      <t>ミ</t>
    </rPh>
    <rPh sb="10" eb="12">
      <t>イチジョ</t>
    </rPh>
    <rPh sb="18" eb="19">
      <t>ネガ</t>
    </rPh>
    <phoneticPr fontId="2"/>
  </si>
  <si>
    <t>将来的な思考の訓練となり、未知な領域、AIでも完全な解答が出ない領域に直面した時、</t>
    <rPh sb="0" eb="2">
      <t>ショウライ</t>
    </rPh>
    <rPh sb="2" eb="3">
      <t>テキ</t>
    </rPh>
    <rPh sb="4" eb="6">
      <t>シコウ</t>
    </rPh>
    <rPh sb="7" eb="9">
      <t>クンレン</t>
    </rPh>
    <rPh sb="13" eb="15">
      <t>ミチ</t>
    </rPh>
    <rPh sb="16" eb="18">
      <t>リョウイキ</t>
    </rPh>
    <rPh sb="23" eb="25">
      <t>カンゼン</t>
    </rPh>
    <rPh sb="26" eb="28">
      <t>カイトウ</t>
    </rPh>
    <rPh sb="29" eb="30">
      <t>デ</t>
    </rPh>
    <rPh sb="32" eb="34">
      <t>リョウイキ</t>
    </rPh>
    <rPh sb="35" eb="37">
      <t>チョクメン</t>
    </rPh>
    <rPh sb="39" eb="40">
      <t>トキ</t>
    </rPh>
    <phoneticPr fontId="2"/>
  </si>
  <si>
    <t>AIは正しい解答を出せない事態を起こします。</t>
    <rPh sb="3" eb="4">
      <t>タダ</t>
    </rPh>
    <rPh sb="6" eb="8">
      <t>カイトウ</t>
    </rPh>
    <rPh sb="9" eb="10">
      <t>ダ</t>
    </rPh>
    <rPh sb="13" eb="15">
      <t>ジタイ</t>
    </rPh>
    <phoneticPr fontId="2"/>
  </si>
  <si>
    <t>これは共通な趣味、楽しみ、休日の過ごし方とか、共通項をカウントし、その数値により判断することを意味しています。</t>
    <rPh sb="13" eb="15">
      <t>キュウジツ</t>
    </rPh>
    <rPh sb="16" eb="17">
      <t>ス</t>
    </rPh>
    <rPh sb="19" eb="20">
      <t>カタ</t>
    </rPh>
    <rPh sb="23" eb="26">
      <t>キョウツウコウ</t>
    </rPh>
    <rPh sb="35" eb="37">
      <t>スウチ</t>
    </rPh>
    <rPh sb="40" eb="42">
      <t>ハンダン</t>
    </rPh>
    <rPh sb="47" eb="49">
      <t>イミ</t>
    </rPh>
    <phoneticPr fontId="2"/>
  </si>
  <si>
    <t>この数値は一般的な距離の長さ概念ではなく、数値が半分だから倍近いというわけでは無いですが、</t>
    <rPh sb="2" eb="4">
      <t>スウチ</t>
    </rPh>
    <rPh sb="5" eb="7">
      <t>イッパン</t>
    </rPh>
    <rPh sb="7" eb="8">
      <t>テキ</t>
    </rPh>
    <rPh sb="9" eb="11">
      <t>キョリ</t>
    </rPh>
    <rPh sb="12" eb="13">
      <t>ナガ</t>
    </rPh>
    <rPh sb="14" eb="16">
      <t>ガイネン</t>
    </rPh>
    <rPh sb="21" eb="23">
      <t>スウチ</t>
    </rPh>
    <rPh sb="24" eb="26">
      <t>ハンブン</t>
    </rPh>
    <rPh sb="29" eb="30">
      <t>バイ</t>
    </rPh>
    <rPh sb="30" eb="31">
      <t>チカ</t>
    </rPh>
    <rPh sb="39" eb="40">
      <t>ナ</t>
    </rPh>
    <phoneticPr fontId="2"/>
  </si>
  <si>
    <t>より近い、より遠いの指標に使われるものさしであることに注意してください。</t>
    <rPh sb="2" eb="3">
      <t>チカ</t>
    </rPh>
    <rPh sb="7" eb="8">
      <t>トオ</t>
    </rPh>
    <rPh sb="10" eb="12">
      <t>シヒョウ</t>
    </rPh>
    <rPh sb="13" eb="14">
      <t>ツカ</t>
    </rPh>
    <rPh sb="27" eb="29">
      <t>チュウイ</t>
    </rPh>
    <phoneticPr fontId="2"/>
  </si>
  <si>
    <t>さらに抽象度を上げて「位相空間」の概念に進むと、もはや「共通項のカウント数」すら廃棄されます。</t>
    <rPh sb="17" eb="19">
      <t>ガイネン</t>
    </rPh>
    <rPh sb="28" eb="31">
      <t>キョウツウコウ</t>
    </rPh>
    <rPh sb="36" eb="37">
      <t>スウ</t>
    </rPh>
    <phoneticPr fontId="2"/>
  </si>
  <si>
    <r>
      <t>2</t>
    </r>
    <r>
      <rPr>
        <sz val="11"/>
        <color rgb="FF000000"/>
        <rFont val="游ゴシック"/>
        <family val="3"/>
        <charset val="128"/>
        <scheme val="minor"/>
      </rPr>
      <t>人の性格は数理的に「限りなく近い」と定義されます。</t>
    </r>
    <phoneticPr fontId="2"/>
  </si>
  <si>
    <t>まさにこの「位相幾何学（トポロジー）」を元にした考え方です。</t>
    <rPh sb="20" eb="21">
      <t>モト</t>
    </rPh>
    <rPh sb="24" eb="25">
      <t>カンガ</t>
    </rPh>
    <rPh sb="26" eb="27">
      <t>カタ</t>
    </rPh>
    <phoneticPr fontId="2"/>
  </si>
  <si>
    <t>数万次元のベクトルという「超巨大な位相空間の『近さ』」にマッピングすることで処理しているからです。</t>
    <phoneticPr fontId="2"/>
  </si>
  <si>
    <r>
      <t>数学における概念の一つ、「位相空間（</t>
    </r>
    <r>
      <rPr>
        <sz val="11"/>
        <color rgb="FF000000"/>
        <rFont val="Aptos Narrow"/>
        <family val="2"/>
      </rPr>
      <t>Topological Space</t>
    </r>
    <r>
      <rPr>
        <sz val="11"/>
        <color rgb="FF000000"/>
        <rFont val="游ゴシック"/>
        <family val="3"/>
        <charset val="128"/>
        <scheme val="minor"/>
      </rPr>
      <t>）における『近さ』の概念」そのものです。</t>
    </r>
    <phoneticPr fontId="2"/>
  </si>
  <si>
    <t>位相空間における「近さ」とは、数値ではなく「ある共通の性質を持つ集団（集合）のなかに、</t>
    <rPh sb="30" eb="31">
      <t>モ</t>
    </rPh>
    <rPh sb="32" eb="34">
      <t>シュウダン</t>
    </rPh>
    <phoneticPr fontId="2"/>
  </si>
  <si>
    <t>どれだけお互いが含まれているか」という構造の繋がり（トポロジー）です。</t>
    <rPh sb="8" eb="9">
      <t>フク</t>
    </rPh>
    <phoneticPr fontId="2"/>
  </si>
  <si>
    <t>※指示文章（プロンプト）の文脈から、回答として「もっともらしい」言葉を選ぶ、この「もっともらしさ」は近さの概念そのものです。</t>
    <rPh sb="1" eb="3">
      <t>シジ</t>
    </rPh>
    <rPh sb="3" eb="5">
      <t>ブンショウ</t>
    </rPh>
    <rPh sb="13" eb="15">
      <t>ブンミャク</t>
    </rPh>
    <rPh sb="18" eb="20">
      <t>カイトウ</t>
    </rPh>
    <rPh sb="32" eb="34">
      <t>コトバ</t>
    </rPh>
    <rPh sb="35" eb="36">
      <t>エラ</t>
    </rPh>
    <rPh sb="50" eb="51">
      <t>チカ</t>
    </rPh>
    <rPh sb="53" eb="55">
      <t>ガイネン</t>
    </rPh>
    <phoneticPr fontId="2"/>
  </si>
  <si>
    <r>
      <t xml:space="preserve">⑤ </t>
    </r>
    <r>
      <rPr>
        <b/>
        <sz val="11"/>
        <color theme="1"/>
        <rFont val="Courier New"/>
        <family val="3"/>
      </rPr>
      <t>numofbits5</t>
    </r>
    <r>
      <rPr>
        <b/>
        <sz val="11"/>
        <color theme="1"/>
        <rFont val="游ゴシック"/>
        <family val="2"/>
        <charset val="128"/>
        <scheme val="minor"/>
      </rPr>
      <t>（並列加算(分割統治)）</t>
    </r>
    <rPh sb="13" eb="15">
      <t>ヘイレツ</t>
    </rPh>
    <rPh sb="15" eb="17">
      <t>カサン</t>
    </rPh>
    <rPh sb="18" eb="20">
      <t>ブンカツ</t>
    </rPh>
    <rPh sb="20" eb="22">
      <t>トウチ</t>
    </rPh>
    <phoneticPr fontId="2"/>
  </si>
  <si>
    <r>
      <t xml:space="preserve">③ </t>
    </r>
    <r>
      <rPr>
        <b/>
        <sz val="11"/>
        <color theme="1"/>
        <rFont val="Courier New"/>
        <family val="3"/>
      </rPr>
      <t>numofbits3</t>
    </r>
    <r>
      <rPr>
        <b/>
        <sz val="11"/>
        <color theme="1"/>
        <rFont val="游ゴシック"/>
        <family val="2"/>
        <charset val="128"/>
        <scheme val="minor"/>
      </rPr>
      <t>（カーニハン流）</t>
    </r>
    <phoneticPr fontId="2"/>
  </si>
  <si>
    <r>
      <rPr>
        <b/>
        <sz val="11"/>
        <color theme="1"/>
        <rFont val="Segoe UI Symbol"/>
        <family val="3"/>
      </rPr>
      <t>②</t>
    </r>
    <r>
      <rPr>
        <b/>
        <sz val="11"/>
        <color theme="1"/>
        <rFont val="Courier New"/>
        <family val="3"/>
      </rPr>
      <t>numofbits2</t>
    </r>
    <r>
      <rPr>
        <b/>
        <sz val="11"/>
        <color theme="1"/>
        <rFont val="游ゴシック"/>
        <family val="2"/>
        <charset val="128"/>
        <scheme val="minor"/>
      </rPr>
      <t>（置換テーブルの利用）</t>
    </r>
    <rPh sb="19" eb="21">
      <t>リヨウ</t>
    </rPh>
    <phoneticPr fontId="2"/>
  </si>
  <si>
    <t>※10進数の場合で123456を99で割ることを考えればもっと分かりやすい。</t>
    <rPh sb="3" eb="5">
      <t>シンスウ</t>
    </rPh>
    <rPh sb="6" eb="8">
      <t>バアイ</t>
    </rPh>
    <rPh sb="19" eb="20">
      <t>ワ</t>
    </rPh>
    <rPh sb="24" eb="25">
      <t>カンガ</t>
    </rPh>
    <rPh sb="31" eb="32">
      <t>ワ</t>
    </rPh>
    <phoneticPr fontId="2"/>
  </si>
  <si>
    <t>12*(99+1)^2+34*(99+1)+56=12*99^2+34*99+12+34+56　これを99で割れば、余りは12+34+56となる</t>
    <rPh sb="58" eb="59">
      <t>アマ</t>
    </rPh>
    <phoneticPr fontId="2"/>
  </si>
  <si>
    <t>ここまで来るとコードが何をしているのか一見だけでは分からなくなり、解が出ることが不思議な感覚となります。</t>
    <rPh sb="4" eb="5">
      <t>ク</t>
    </rPh>
    <rPh sb="11" eb="12">
      <t>ナニ</t>
    </rPh>
    <rPh sb="19" eb="21">
      <t>イッケン</t>
    </rPh>
    <rPh sb="25" eb="26">
      <t>ワ</t>
    </rPh>
    <phoneticPr fontId="2"/>
  </si>
  <si>
    <t>※④の3ビット分を2つ足して6ビット分にするロジックの延長になります</t>
    <rPh sb="7" eb="8">
      <t>ブン</t>
    </rPh>
    <rPh sb="11" eb="12">
      <t>タ</t>
    </rPh>
    <rPh sb="18" eb="19">
      <t>プン</t>
    </rPh>
    <rPh sb="27" eb="29">
      <t>エンチョウ</t>
    </rPh>
    <phoneticPr fontId="2"/>
  </si>
  <si>
    <t>【並列加算回路】 画像認識などで、条件分岐を入れると、致命的な遅延（タイムアウト）が起きます。</t>
    <rPh sb="1" eb="3">
      <t>ヘイレツ</t>
    </rPh>
    <rPh sb="3" eb="5">
      <t>カサン</t>
    </rPh>
    <rPh sb="5" eb="7">
      <t>カイロ</t>
    </rPh>
    <phoneticPr fontId="2"/>
  </si>
  <si>
    <t>numofbits5 (並列加算(分割統治))</t>
    <phoneticPr fontId="2"/>
  </si>
  <si>
    <t xml:space="preserve"> (bits &amp; 0x0000ffff) + (bits &gt;&gt;16 &amp; 0x0000ffff);</t>
  </si>
  <si>
    <t xml:space="preserve"> (bits &amp; 0x00000000ffffffff) + (bits &gt;&gt;32 &amp; 0x00000000ffffffff);</t>
    <phoneticPr fontId="2"/>
  </si>
  <si>
    <t>※扱える桁数での制約はあるが、意味的には上記のように1行追加するだけ</t>
    <rPh sb="1" eb="2">
      <t>アツカ</t>
    </rPh>
    <rPh sb="4" eb="6">
      <t>ケタスウ</t>
    </rPh>
    <rPh sb="8" eb="10">
      <t>セイヤク</t>
    </rPh>
    <rPh sb="15" eb="18">
      <t>イミテキ</t>
    </rPh>
    <rPh sb="20" eb="22">
      <t>ジョウキ</t>
    </rPh>
    <rPh sb="27" eb="28">
      <t>ギョウ</t>
    </rPh>
    <rPh sb="28" eb="30">
      <t>ツイカ</t>
    </rPh>
    <phoneticPr fontId="2"/>
  </si>
  <si>
    <t>方法1から3、5については解法も明らかで、web上に参考となるデータも豊富に存在する。</t>
    <rPh sb="0" eb="2">
      <t>ホウホウ</t>
    </rPh>
    <rPh sb="13" eb="15">
      <t>カイホウ</t>
    </rPh>
    <rPh sb="16" eb="17">
      <t>アキ</t>
    </rPh>
    <rPh sb="24" eb="25">
      <t>ジョウ</t>
    </rPh>
    <rPh sb="26" eb="28">
      <t>サンコウ</t>
    </rPh>
    <rPh sb="35" eb="37">
      <t>ホウフ</t>
    </rPh>
    <rPh sb="38" eb="40">
      <t>ソンザイ</t>
    </rPh>
    <phoneticPr fontId="2"/>
  </si>
  <si>
    <t>そのため各AIも正しい解答を出力し、意味的には差異はない。</t>
    <rPh sb="4" eb="5">
      <t>カク</t>
    </rPh>
    <rPh sb="8" eb="9">
      <t>タダ</t>
    </rPh>
    <rPh sb="11" eb="13">
      <t>カイトウ</t>
    </rPh>
    <rPh sb="14" eb="16">
      <t>シュツリョク</t>
    </rPh>
    <rPh sb="18" eb="20">
      <t>イミ</t>
    </rPh>
    <rPh sb="20" eb="21">
      <t>テキ</t>
    </rPh>
    <rPh sb="23" eb="25">
      <t>サイ</t>
    </rPh>
    <phoneticPr fontId="2"/>
  </si>
  <si>
    <t>ところが、検索では出てこない方法4についての解法については、各AIでの解答が間違いだらけとなった。</t>
    <rPh sb="5" eb="7">
      <t>ケンサク</t>
    </rPh>
    <rPh sb="9" eb="10">
      <t>デ</t>
    </rPh>
    <rPh sb="14" eb="16">
      <t>ホウホウ</t>
    </rPh>
    <rPh sb="22" eb="24">
      <t>カイホウ</t>
    </rPh>
    <rPh sb="30" eb="31">
      <t>カク</t>
    </rPh>
    <rPh sb="35" eb="37">
      <t>カイトウ</t>
    </rPh>
    <rPh sb="38" eb="40">
      <t>マチガ</t>
    </rPh>
    <phoneticPr fontId="2"/>
  </si>
  <si>
    <t>③6ビットの各値の和は、8進6ビットの最大値63で割ることにより求める</t>
    <rPh sb="6" eb="7">
      <t>カク</t>
    </rPh>
    <rPh sb="7" eb="8">
      <t>アタイ</t>
    </rPh>
    <rPh sb="9" eb="10">
      <t>ワ</t>
    </rPh>
    <rPh sb="13" eb="14">
      <t>シン</t>
    </rPh>
    <rPh sb="19" eb="21">
      <t>サイダイ</t>
    </rPh>
    <rPh sb="21" eb="22">
      <t>チ</t>
    </rPh>
    <rPh sb="25" eb="26">
      <t>ワ</t>
    </rPh>
    <rPh sb="32" eb="33">
      <t>モト</t>
    </rPh>
    <phoneticPr fontId="2"/>
  </si>
  <si>
    <t>この3段階を上手く説明出来るかを問う内容であるが、100点の解答は出なかった。※各AIについての評価は別途コメントを確認してください</t>
    <rPh sb="2" eb="5">
      <t>サンダンカイ</t>
    </rPh>
    <rPh sb="6" eb="8">
      <t>ウマ</t>
    </rPh>
    <rPh sb="9" eb="11">
      <t>セツメイ</t>
    </rPh>
    <rPh sb="11" eb="13">
      <t>デキ</t>
    </rPh>
    <rPh sb="16" eb="17">
      <t>ト</t>
    </rPh>
    <rPh sb="18" eb="20">
      <t>ナイヨウ</t>
    </rPh>
    <rPh sb="28" eb="29">
      <t>テン</t>
    </rPh>
    <rPh sb="30" eb="32">
      <t>カイトウ</t>
    </rPh>
    <rPh sb="33" eb="34">
      <t>デ</t>
    </rPh>
    <rPh sb="40" eb="41">
      <t>カク</t>
    </rPh>
    <rPh sb="48" eb="50">
      <t>ヒョウカ</t>
    </rPh>
    <rPh sb="51" eb="53">
      <t>ベット</t>
    </rPh>
    <rPh sb="58" eb="60">
      <t>カクニン</t>
    </rPh>
    <phoneticPr fontId="2"/>
  </si>
  <si>
    <t>知識は豊富だが少し抜けたところがある</t>
    <rPh sb="0" eb="2">
      <t>チシキ</t>
    </rPh>
    <rPh sb="3" eb="5">
      <t>ホウフ</t>
    </rPh>
    <rPh sb="7" eb="8">
      <t>スコ</t>
    </rPh>
    <rPh sb="9" eb="10">
      <t>ヌ</t>
    </rPh>
    <phoneticPr fontId="2"/>
  </si>
  <si>
    <t>指示・指導を丁寧に考えないとダメ人</t>
    <rPh sb="0" eb="2">
      <t>シジ</t>
    </rPh>
    <rPh sb="3" eb="5">
      <t>シドウ</t>
    </rPh>
    <rPh sb="6" eb="8">
      <t>テイネイ</t>
    </rPh>
    <rPh sb="9" eb="10">
      <t>カンガ</t>
    </rPh>
    <rPh sb="16" eb="17">
      <t>ヒト</t>
    </rPh>
    <phoneticPr fontId="2"/>
  </si>
  <si>
    <t>優秀だが、面白みの少ない堅物な優等生</t>
    <rPh sb="0" eb="2">
      <t>ユウシュウ</t>
    </rPh>
    <rPh sb="5" eb="7">
      <t>オモシロ</t>
    </rPh>
    <rPh sb="9" eb="10">
      <t>スク</t>
    </rPh>
    <rPh sb="12" eb="14">
      <t>カタブツ</t>
    </rPh>
    <rPh sb="15" eb="18">
      <t>ユウトウセイ</t>
    </rPh>
    <phoneticPr fontId="2"/>
  </si>
  <si>
    <t>方法4のシートで解説したように、以下の3段階により求める。</t>
    <rPh sb="0" eb="2">
      <t>ホウホウ</t>
    </rPh>
    <rPh sb="8" eb="10">
      <t>カイセツ</t>
    </rPh>
    <rPh sb="16" eb="18">
      <t>イカ</t>
    </rPh>
    <rPh sb="20" eb="22">
      <t>ダンカイ</t>
    </rPh>
    <rPh sb="25" eb="26">
      <t>モト</t>
    </rPh>
    <phoneticPr fontId="2"/>
  </si>
  <si>
    <t>※正直このコードの分析理解と解説が一番手間が掛った。</t>
    <rPh sb="1" eb="3">
      <t>ショウジキ</t>
    </rPh>
    <rPh sb="9" eb="11">
      <t>ブンセキ</t>
    </rPh>
    <rPh sb="11" eb="13">
      <t>リカイ</t>
    </rPh>
    <rPh sb="14" eb="16">
      <t>カイセツ</t>
    </rPh>
    <rPh sb="17" eb="19">
      <t>イチバン</t>
    </rPh>
    <rPh sb="19" eb="21">
      <t>テマ</t>
    </rPh>
    <rPh sb="22" eb="23">
      <t>カカ</t>
    </rPh>
    <phoneticPr fontId="2"/>
  </si>
  <si>
    <t>調査の背景にはこの資料の作成でAIを利用したときに、方法４について、googleのAIモードは初め解説を出さなかったことにある。</t>
    <rPh sb="0" eb="2">
      <t>チョウサ</t>
    </rPh>
    <rPh sb="3" eb="5">
      <t>ハイケイ</t>
    </rPh>
    <rPh sb="9" eb="11">
      <t>シリョウ</t>
    </rPh>
    <rPh sb="12" eb="14">
      <t>サクセイ</t>
    </rPh>
    <rPh sb="18" eb="20">
      <t>リヨウ</t>
    </rPh>
    <rPh sb="26" eb="28">
      <t>ホウホウ</t>
    </rPh>
    <rPh sb="47" eb="48">
      <t>ハジ</t>
    </rPh>
    <rPh sb="49" eb="51">
      <t>カイセツ</t>
    </rPh>
    <rPh sb="52" eb="53">
      <t>ダ</t>
    </rPh>
    <phoneticPr fontId="2"/>
  </si>
  <si>
    <t>以下は、同一環境（CPU）において、各ビットカウント・アルゴリズムを「1億回」回した際の物理的な処理時間のログデータです。</t>
    <rPh sb="36" eb="37">
      <t>オク</t>
    </rPh>
    <phoneticPr fontId="2"/>
  </si>
  <si>
    <t>約21.0倍速</t>
    <phoneticPr fontId="2"/>
  </si>
  <si>
    <t>約30.0倍速</t>
    <phoneticPr fontId="2"/>
  </si>
  <si>
    <t>約13.8倍速</t>
    <phoneticPr fontId="2"/>
  </si>
  <si>
    <t>約3.75倍速</t>
    <phoneticPr fontId="2"/>
  </si>
  <si>
    <t>最速と最遅で、なんと「約30倍」の処理速度差になります。</t>
    <phoneticPr fontId="2"/>
  </si>
  <si>
    <t>Cでの最適化、javaとの比較</t>
    <rPh sb="3" eb="6">
      <t>サイテキカ</t>
    </rPh>
    <rPh sb="13" eb="15">
      <t>ヒカク</t>
    </rPh>
    <phoneticPr fontId="2"/>
  </si>
  <si>
    <t>以下は、同一環境（CPU）において、Cの最適化オプションを追加した場合いと、同様のコードをjavaで処理したときの比較一覧です</t>
    <rPh sb="20" eb="23">
      <t>サイテキカ</t>
    </rPh>
    <rPh sb="29" eb="31">
      <t>ツイカ</t>
    </rPh>
    <rPh sb="33" eb="35">
      <t>バアイ</t>
    </rPh>
    <rPh sb="38" eb="40">
      <t>ドウヨウ</t>
    </rPh>
    <rPh sb="50" eb="52">
      <t>ショリ</t>
    </rPh>
    <rPh sb="57" eb="59">
      <t>ヒカク</t>
    </rPh>
    <rPh sb="59" eb="61">
      <t>イチラン</t>
    </rPh>
    <phoneticPr fontId="2"/>
  </si>
  <si>
    <t>処理時間比較一覧：処理時間（秒）</t>
    <rPh sb="4" eb="6">
      <t>ヒカク</t>
    </rPh>
    <rPh sb="6" eb="8">
      <t>イチラン</t>
    </rPh>
    <phoneticPr fontId="2"/>
  </si>
  <si>
    <t>C：最適化なし</t>
    <rPh sb="2" eb="5">
      <t>サイテキカ</t>
    </rPh>
    <phoneticPr fontId="2"/>
  </si>
  <si>
    <t>C：最適化あり</t>
    <rPh sb="2" eb="5">
      <t>サイテキカ</t>
    </rPh>
    <phoneticPr fontId="2"/>
  </si>
  <si>
    <t>5.366倍</t>
    <rPh sb="5" eb="6">
      <t>バイ</t>
    </rPh>
    <phoneticPr fontId="2"/>
  </si>
  <si>
    <t>7.413倍</t>
    <rPh sb="5" eb="6">
      <t>バイ</t>
    </rPh>
    <phoneticPr fontId="2"/>
  </si>
  <si>
    <t>34.370倍</t>
    <rPh sb="6" eb="7">
      <t>バイ</t>
    </rPh>
    <phoneticPr fontId="2"/>
  </si>
  <si>
    <t>2.268倍</t>
    <rPh sb="5" eb="6">
      <t>バイ</t>
    </rPh>
    <phoneticPr fontId="2"/>
  </si>
  <si>
    <t>2.356倍</t>
    <rPh sb="5" eb="6">
      <t>バイ</t>
    </rPh>
    <phoneticPr fontId="2"/>
  </si>
  <si>
    <t>4.347倍</t>
    <rPh sb="5" eb="6">
      <t>バイ</t>
    </rPh>
    <phoneticPr fontId="2"/>
  </si>
  <si>
    <t>-</t>
    <phoneticPr fontId="2"/>
  </si>
  <si>
    <t>volatile修飾</t>
    <rPh sb="8" eb="10">
      <t>シュウショク</t>
    </rPh>
    <phoneticPr fontId="2"/>
  </si>
  <si>
    <t>volatile時の効率</t>
    <rPh sb="8" eb="9">
      <t>ジ</t>
    </rPh>
    <rPh sb="10" eb="12">
      <t>コウリツ</t>
    </rPh>
    <phoneticPr fontId="2"/>
  </si>
  <si>
    <t>Cの最適化ありなしでは全て処理時間が短くなることが分かる。</t>
    <rPh sb="2" eb="4">
      <t>サイテキ</t>
    </rPh>
    <rPh sb="4" eb="5">
      <t>カ</t>
    </rPh>
    <rPh sb="11" eb="12">
      <t>スベ</t>
    </rPh>
    <rPh sb="13" eb="15">
      <t>ショリ</t>
    </rPh>
    <rPh sb="15" eb="17">
      <t>ジカン</t>
    </rPh>
    <rPh sb="18" eb="19">
      <t>ミジカ</t>
    </rPh>
    <rPh sb="25" eb="26">
      <t>ワ</t>
    </rPh>
    <phoneticPr fontId="2"/>
  </si>
  <si>
    <t>numofbits3 (カーニハン流)</t>
    <phoneticPr fontId="2"/>
  </si>
  <si>
    <t>最適化による処理は、処理自体も変更される場合があるそうなので、</t>
    <rPh sb="0" eb="3">
      <t>サイテキカ</t>
    </rPh>
    <rPh sb="6" eb="8">
      <t>ショリ</t>
    </rPh>
    <rPh sb="10" eb="12">
      <t>ショリ</t>
    </rPh>
    <rPh sb="12" eb="14">
      <t>ジタイ</t>
    </rPh>
    <rPh sb="15" eb="17">
      <t>ヘンコウ</t>
    </rPh>
    <rPh sb="20" eb="22">
      <t>バアイ</t>
    </rPh>
    <phoneticPr fontId="2"/>
  </si>
  <si>
    <t>処理時間が短くなるのは当然としても、numofbits3の伸びが他に比べて顕著になった。</t>
    <rPh sb="29" eb="30">
      <t>ノ</t>
    </rPh>
    <rPh sb="32" eb="33">
      <t>タ</t>
    </rPh>
    <rPh sb="34" eb="35">
      <t>クラ</t>
    </rPh>
    <rPh sb="37" eb="39">
      <t>ケンチョ</t>
    </rPh>
    <phoneticPr fontId="2"/>
  </si>
  <si>
    <t>比較のためにnumofbits3については、volatile修飾により処理内容は変えない場合の比較も行った。</t>
    <rPh sb="0" eb="2">
      <t>ヒカク</t>
    </rPh>
    <rPh sb="30" eb="32">
      <t>シュウショク</t>
    </rPh>
    <rPh sb="35" eb="37">
      <t>ショリ</t>
    </rPh>
    <rPh sb="37" eb="39">
      <t>ナイヨウ</t>
    </rPh>
    <rPh sb="40" eb="41">
      <t>カ</t>
    </rPh>
    <rPh sb="44" eb="46">
      <t>バアイ</t>
    </rPh>
    <rPh sb="47" eb="49">
      <t>ヒカク</t>
    </rPh>
    <rPh sb="50" eb="51">
      <t>オコナ</t>
    </rPh>
    <phoneticPr fontId="2"/>
  </si>
  <si>
    <t>2.7242倍</t>
    <rPh sb="6" eb="7">
      <t>バイ</t>
    </rPh>
    <phoneticPr fontId="2"/>
  </si>
  <si>
    <t>numofbits1 (力まかせループ)</t>
    <phoneticPr fontId="2"/>
  </si>
  <si>
    <t>組込み命令のpopcntとほぼ同じ処理速度になるのは、処理内容からしても異常な伸びである。</t>
    <rPh sb="0" eb="2">
      <t>クミコ</t>
    </rPh>
    <rPh sb="3" eb="5">
      <t>メイレイ</t>
    </rPh>
    <rPh sb="15" eb="16">
      <t>オナ</t>
    </rPh>
    <rPh sb="17" eb="19">
      <t>ショリ</t>
    </rPh>
    <rPh sb="19" eb="21">
      <t>ソクド</t>
    </rPh>
    <rPh sb="27" eb="29">
      <t>ショリ</t>
    </rPh>
    <rPh sb="29" eb="31">
      <t>ナイヨウ</t>
    </rPh>
    <rPh sb="36" eb="38">
      <t>イジョウ</t>
    </rPh>
    <rPh sb="39" eb="40">
      <t>ノ</t>
    </rPh>
    <phoneticPr fontId="2"/>
  </si>
  <si>
    <t>これは最適化処理により、内部的にpopcnt命令に置換わっていると推測される。</t>
    <rPh sb="3" eb="6">
      <t>サイテキカ</t>
    </rPh>
    <rPh sb="6" eb="8">
      <t>ショリ</t>
    </rPh>
    <rPh sb="12" eb="14">
      <t>ナイブ</t>
    </rPh>
    <rPh sb="14" eb="15">
      <t>テキ</t>
    </rPh>
    <rPh sb="22" eb="24">
      <t>メイレイ</t>
    </rPh>
    <rPh sb="25" eb="27">
      <t>オキカ</t>
    </rPh>
    <rPh sb="33" eb="35">
      <t>スイソク</t>
    </rPh>
    <phoneticPr fontId="2"/>
  </si>
  <si>
    <t>最適化により、実際の処理自体が変更されるという前提で、javaでの結果を見ると</t>
    <rPh sb="0" eb="3">
      <t>サイテキカ</t>
    </rPh>
    <rPh sb="7" eb="9">
      <t>ジッサイ</t>
    </rPh>
    <rPh sb="10" eb="12">
      <t>ショリ</t>
    </rPh>
    <rPh sb="12" eb="14">
      <t>ジタイ</t>
    </rPh>
    <rPh sb="15" eb="17">
      <t>ヘンコウ</t>
    </rPh>
    <rPh sb="23" eb="25">
      <t>ゼンテイ</t>
    </rPh>
    <rPh sb="33" eb="35">
      <t>ケッカ</t>
    </rPh>
    <rPh sb="36" eb="37">
      <t>ミ</t>
    </rPh>
    <phoneticPr fontId="2"/>
  </si>
  <si>
    <t>C：最適化効率</t>
    <rPh sb="2" eb="5">
      <t>サイテキカ</t>
    </rPh>
    <rPh sb="5" eb="7">
      <t>コウリツ</t>
    </rPh>
    <phoneticPr fontId="2"/>
  </si>
  <si>
    <t>この場合はループ回数が平均でnumofbits1 の半分になることから、numofbits1の半分程度の時間となり予測通りの値に収まる。</t>
    <rPh sb="2" eb="4">
      <t>バアイ</t>
    </rPh>
    <rPh sb="8" eb="10">
      <t>カイスウ</t>
    </rPh>
    <rPh sb="11" eb="13">
      <t>ヘイキン</t>
    </rPh>
    <rPh sb="26" eb="28">
      <t>ハンブン</t>
    </rPh>
    <rPh sb="47" eb="49">
      <t>ハンブン</t>
    </rPh>
    <rPh sb="49" eb="51">
      <t>テイド</t>
    </rPh>
    <rPh sb="52" eb="54">
      <t>ジカン</t>
    </rPh>
    <rPh sb="57" eb="59">
      <t>ヨソク</t>
    </rPh>
    <rPh sb="59" eb="60">
      <t>ドオ</t>
    </rPh>
    <rPh sb="62" eb="63">
      <t>アタイ</t>
    </rPh>
    <rPh sb="64" eb="65">
      <t>オサ</t>
    </rPh>
    <phoneticPr fontId="2"/>
  </si>
  <si>
    <t>c：vscodeベースでgccを組み込んでの実施</t>
    <rPh sb="16" eb="17">
      <t>ク</t>
    </rPh>
    <rPh sb="18" eb="19">
      <t>コ</t>
    </rPh>
    <rPh sb="22" eb="24">
      <t>ジッシ</t>
    </rPh>
    <phoneticPr fontId="2"/>
  </si>
  <si>
    <t>java：IntelliJ IDEA</t>
    <phoneticPr fontId="2"/>
  </si>
  <si>
    <t>javaデフォルト</t>
    <phoneticPr fontId="2"/>
  </si>
  <si>
    <t>java（-Xint）</t>
    <phoneticPr fontId="2"/>
  </si>
  <si>
    <t>こちらも検証として、VMの最適化を行わないオプション-Xintで計測してみた。</t>
    <rPh sb="4" eb="6">
      <t>ケンショウ</t>
    </rPh>
    <rPh sb="13" eb="16">
      <t>サイテキカ</t>
    </rPh>
    <rPh sb="17" eb="18">
      <t>オコナ</t>
    </rPh>
    <rPh sb="32" eb="34">
      <t>ケイソク</t>
    </rPh>
    <phoneticPr fontId="2"/>
  </si>
  <si>
    <t>2、4、5が組込み命令と同じ速度になるのは、内部でpopcnt命令として処理されていることが推測できる。</t>
    <rPh sb="6" eb="8">
      <t>クミコ</t>
    </rPh>
    <rPh sb="9" eb="11">
      <t>メイレイ</t>
    </rPh>
    <rPh sb="12" eb="13">
      <t>オナ</t>
    </rPh>
    <rPh sb="14" eb="16">
      <t>ソクド</t>
    </rPh>
    <rPh sb="22" eb="24">
      <t>ナイブ</t>
    </rPh>
    <rPh sb="31" eb="33">
      <t>メイレイ</t>
    </rPh>
    <rPh sb="36" eb="38">
      <t>ショリ</t>
    </rPh>
    <rPh sb="46" eb="48">
      <t>スイソク</t>
    </rPh>
    <phoneticPr fontId="2"/>
  </si>
  <si>
    <t>やはり予測通り最適化を行わないと、2、4、5と組込み命令、それぞれ異なる傾向となった。</t>
    <rPh sb="3" eb="5">
      <t>ヨソク</t>
    </rPh>
    <rPh sb="5" eb="6">
      <t>ドオ</t>
    </rPh>
    <rPh sb="7" eb="10">
      <t>サイテキカ</t>
    </rPh>
    <rPh sb="11" eb="12">
      <t>オコナ</t>
    </rPh>
    <rPh sb="33" eb="34">
      <t>コト</t>
    </rPh>
    <rPh sb="36" eb="38">
      <t>ケイコウ</t>
    </rPh>
    <phoneticPr fontId="2"/>
  </si>
  <si>
    <t>また興味深い結果として、組込み関数popcntよりnumofbits4 (HAKMEMの魔術)が最速となったことである。</t>
    <rPh sb="2" eb="5">
      <t>キョウミブカ</t>
    </rPh>
    <rPh sb="6" eb="8">
      <t>ケッカ</t>
    </rPh>
    <rPh sb="12" eb="14">
      <t>クミコ</t>
    </rPh>
    <rPh sb="15" eb="17">
      <t>カンスウ</t>
    </rPh>
    <rPh sb="48" eb="50">
      <t>サイソク</t>
    </rPh>
    <phoneticPr fontId="2"/>
  </si>
  <si>
    <t>これは中間コードからのpopcnt命令呼び出しと、コード自体が軽量なHAKMEMの魔術の比較で、</t>
    <rPh sb="3" eb="5">
      <t>チュウカン</t>
    </rPh>
    <rPh sb="17" eb="19">
      <t>メイレイ</t>
    </rPh>
    <rPh sb="19" eb="20">
      <t>ヨ</t>
    </rPh>
    <rPh sb="21" eb="22">
      <t>ダ</t>
    </rPh>
    <rPh sb="28" eb="30">
      <t>ジタイ</t>
    </rPh>
    <rPh sb="31" eb="33">
      <t>ケイリョウ</t>
    </rPh>
    <rPh sb="44" eb="46">
      <t>ヒカク</t>
    </rPh>
    <phoneticPr fontId="2"/>
  </si>
  <si>
    <t>呼び出しがオーバーヘッドとなり、僅かだが速度が逆転したことが見て取れる。</t>
    <rPh sb="0" eb="1">
      <t>ヨ</t>
    </rPh>
    <rPh sb="2" eb="3">
      <t>ダ</t>
    </rPh>
    <rPh sb="16" eb="17">
      <t>ワズ</t>
    </rPh>
    <rPh sb="20" eb="22">
      <t>ソクド</t>
    </rPh>
    <rPh sb="23" eb="25">
      <t>ギャクテン</t>
    </rPh>
    <rPh sb="30" eb="31">
      <t>ミ</t>
    </rPh>
    <rPh sb="32" eb="33">
      <t>ト</t>
    </rPh>
    <phoneticPr fontId="2"/>
  </si>
  <si>
    <t>【考察】コンパイル時の最適化</t>
    <rPh sb="1" eb="3">
      <t>コウサツ</t>
    </rPh>
    <rPh sb="9" eb="10">
      <t>ジ</t>
    </rPh>
    <rPh sb="11" eb="14">
      <t>サイテキカ</t>
    </rPh>
    <phoneticPr fontId="2"/>
  </si>
  <si>
    <t>• 「どれが良いとか、悪いとかはない。状況により、最適なものを選べることが大事」</t>
    <phoneticPr fontId="2"/>
  </si>
  <si>
    <t>「まとめ」シートで触れた内容ではあるが、こちらの検証でも、環境、状況により最適なコードは変化する。</t>
    <rPh sb="9" eb="10">
      <t>フ</t>
    </rPh>
    <rPh sb="12" eb="14">
      <t>ナイヨウ</t>
    </rPh>
    <rPh sb="24" eb="26">
      <t>ケンショウ</t>
    </rPh>
    <rPh sb="29" eb="31">
      <t>カンキョウ</t>
    </rPh>
    <rPh sb="32" eb="34">
      <t>ジョウキョウ</t>
    </rPh>
    <rPh sb="37" eb="39">
      <t>サイテキ</t>
    </rPh>
    <rPh sb="44" eb="46">
      <t>ヘンカ</t>
    </rPh>
    <phoneticPr fontId="2"/>
  </si>
  <si>
    <t>「どれが良いとか、悪いとかはない。状況により、最適なものを選べることが大事」を裏付ける結果となった。</t>
    <rPh sb="39" eb="41">
      <t>ウラヅ</t>
    </rPh>
    <rPh sb="43" eb="45">
      <t>ケッカ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</si>
</sst>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2"/>
      <charset val="128"/>
      <scheme val="minor"/>
    </font>
    <font>
      <b/>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
      <sz val="11"/>
      <color rgb="FF000000"/>
      <name val="Aptos Narrow"/>
      <family val="2"/>
    </font>
    <font>
      <b/>
      <sz val="11"/>
      <color rgb="FF000000"/>
      <name val="游ゴシック"/>
      <family val="3"/>
      <charset val="128"/>
      <scheme val="minor"/>
    </font>
    <font>
      <b/>
      <sz val="11"/>
      <color rgb="FF000000"/>
      <name val="Aptos Narrow"/>
      <family val="2"/>
    </font>
    <font>
      <sz val="11"/>
      <color rgb="FF000000"/>
      <name val="ＭＳ Ｐゴシック"/>
      <family val="2"/>
      <charset val="128"/>
    </font>
    <font>
      <b/>
      <sz val="11"/>
      <color theme="1"/>
      <name val="Courier New"/>
      <family val="3"/>
    </font>
    <font>
      <b/>
      <sz val="12"/>
      <color theme="1"/>
      <name val="Arial"/>
      <family val="3"/>
      <charset val="128"/>
    </font>
    <font>
      <sz val="12"/>
      <color theme="1"/>
      <name val="游ゴシック"/>
      <family val="3"/>
      <charset val="128"/>
    </font>
    <font>
      <b/>
      <sz val="11"/>
      <color theme="1"/>
      <name val="Segoe UI Symbol"/>
      <family val="3"/>
    </font>
    <font>
      <b/>
      <sz val="11"/>
      <color theme="1"/>
      <name val="游ゴシック"/>
      <family val="3"/>
      <charset val="128"/>
      <scheme val="minor"/>
    </font>
    <font>
      <sz val="11"/>
      <color theme="1"/>
      <name val="Microsoft JhengHei"/>
      <family val="2"/>
      <charset val="128"/>
    </font>
    <font>
      <sz val="11"/>
      <color theme="1"/>
      <name val="游ゴシック"/>
      <family val="2"/>
      <charset val="128"/>
    </font>
    <font>
      <sz val="11"/>
      <color theme="1"/>
      <name val="游ゴシック"/>
      <family val="3"/>
      <charset val="128"/>
      <scheme val="minor"/>
    </font>
    <font>
      <sz val="11"/>
      <color theme="1"/>
      <name val="Segoe UI Symbol"/>
      <family val="3"/>
    </font>
    <font>
      <sz val="11"/>
      <color rgb="FFFF0000"/>
      <name val="游ゴシック"/>
      <family val="2"/>
      <charset val="128"/>
      <scheme val="minor"/>
    </font>
    <font>
      <sz val="11"/>
      <name val="游ゴシック"/>
      <family val="2"/>
      <charset val="128"/>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1">
    <xf numFmtId="0" fontId="0" fillId="0" borderId="0">
      <alignment vertical="center"/>
    </xf>
  </cellStyleXfs>
  <cellXfs count="26">
    <xf numFmtId="0" fontId="0" fillId="0" borderId="0" xfId="0">
      <alignment vertical="center"/>
    </xf>
    <xf numFmtId="0" fontId="0" fillId="0" borderId="1" xfId="0" applyBorder="1">
      <alignment vertical="center"/>
    </xf>
    <xf numFmtId="0" fontId="0" fillId="2" borderId="1" xfId="0" applyFill="1" applyBorder="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1" fillId="0" borderId="0" xfId="0" applyFont="1">
      <alignment vertical="center"/>
    </xf>
    <xf numFmtId="0" fontId="9" fillId="0" borderId="0" xfId="0" applyFont="1" applyAlignment="1">
      <alignment horizontal="left" vertical="center" indent="1"/>
    </xf>
    <xf numFmtId="0" fontId="10" fillId="0" borderId="0" xfId="0" applyFont="1" applyAlignment="1">
      <alignment vertical="top"/>
    </xf>
    <xf numFmtId="0" fontId="8" fillId="0" borderId="0" xfId="0" applyFont="1">
      <alignment vertical="center"/>
    </xf>
    <xf numFmtId="0" fontId="12" fillId="0" borderId="0" xfId="0" applyFont="1">
      <alignment vertical="center"/>
    </xf>
    <xf numFmtId="0" fontId="0" fillId="0" borderId="0" xfId="0" quotePrefix="1">
      <alignment vertical="center"/>
    </xf>
    <xf numFmtId="0" fontId="0" fillId="0" borderId="4" xfId="0" applyFill="1" applyBorder="1">
      <alignment vertical="center"/>
    </xf>
    <xf numFmtId="0" fontId="15" fillId="0" borderId="0" xfId="0" applyFont="1">
      <alignment vertical="center"/>
    </xf>
    <xf numFmtId="0" fontId="12" fillId="0" borderId="0" xfId="0" applyFont="1" applyAlignment="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right" vertical="center"/>
    </xf>
    <xf numFmtId="0" fontId="17" fillId="0" borderId="1" xfId="0" applyFont="1" applyBorder="1" applyAlignment="1">
      <alignment horizontal="right" vertical="center"/>
    </xf>
    <xf numFmtId="0" fontId="17" fillId="3" borderId="1" xfId="0" applyFont="1" applyFill="1" applyBorder="1">
      <alignment vertical="center"/>
    </xf>
    <xf numFmtId="0" fontId="17" fillId="3" borderId="1" xfId="0" applyFont="1" applyFill="1" applyBorder="1" applyAlignment="1">
      <alignment horizontal="right" vertical="center"/>
    </xf>
    <xf numFmtId="0" fontId="15" fillId="0" borderId="0" xfId="0" applyFont="1" applyFill="1" applyBorder="1">
      <alignment vertical="center"/>
    </xf>
    <xf numFmtId="0" fontId="0" fillId="0" borderId="1" xfId="0" applyFill="1" applyBorder="1">
      <alignment vertical="center"/>
    </xf>
    <xf numFmtId="0" fontId="18" fillId="0" borderId="1"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発展!$N$23</c:f>
              <c:strCache>
                <c:ptCount val="1"/>
                <c:pt idx="0">
                  <c:v>①for</c:v>
                </c:pt>
              </c:strCache>
            </c:strRef>
          </c:tx>
          <c:spPr>
            <a:ln w="19050" cap="rnd">
              <a:solidFill>
                <a:schemeClr val="accent1"/>
              </a:solidFill>
              <a:round/>
            </a:ln>
            <a:effectLst/>
          </c:spPr>
          <c:marker>
            <c:symbol val="none"/>
          </c:marker>
          <c:xVal>
            <c:numRef>
              <c:f>発展!$M$24:$M$28</c:f>
              <c:numCache>
                <c:formatCode>General</c:formatCode>
                <c:ptCount val="5"/>
                <c:pt idx="0">
                  <c:v>1</c:v>
                </c:pt>
                <c:pt idx="1">
                  <c:v>10</c:v>
                </c:pt>
                <c:pt idx="2">
                  <c:v>100</c:v>
                </c:pt>
                <c:pt idx="3">
                  <c:v>1000</c:v>
                </c:pt>
                <c:pt idx="4">
                  <c:v>10000</c:v>
                </c:pt>
              </c:numCache>
            </c:numRef>
          </c:xVal>
          <c:yVal>
            <c:numRef>
              <c:f>発展!$N$24:$N$28</c:f>
              <c:numCache>
                <c:formatCode>General</c:formatCode>
                <c:ptCount val="5"/>
                <c:pt idx="0">
                  <c:v>10</c:v>
                </c:pt>
                <c:pt idx="1">
                  <c:v>100</c:v>
                </c:pt>
                <c:pt idx="2">
                  <c:v>1000</c:v>
                </c:pt>
                <c:pt idx="3">
                  <c:v>10000</c:v>
                </c:pt>
                <c:pt idx="4">
                  <c:v>100000</c:v>
                </c:pt>
              </c:numCache>
            </c:numRef>
          </c:yVal>
          <c:smooth val="1"/>
          <c:extLst>
            <c:ext xmlns:c16="http://schemas.microsoft.com/office/drawing/2014/chart" uri="{C3380CC4-5D6E-409C-BE32-E72D297353CC}">
              <c16:uniqueId val="{00000000-D28B-4D0C-B1A3-34914AE06129}"/>
            </c:ext>
          </c:extLst>
        </c:ser>
        <c:ser>
          <c:idx val="1"/>
          <c:order val="1"/>
          <c:tx>
            <c:strRef>
              <c:f>発展!$O$23</c:f>
              <c:strCache>
                <c:ptCount val="1"/>
                <c:pt idx="0">
                  <c:v>②テーブル</c:v>
                </c:pt>
              </c:strCache>
            </c:strRef>
          </c:tx>
          <c:spPr>
            <a:ln w="19050" cap="rnd">
              <a:solidFill>
                <a:schemeClr val="accent2"/>
              </a:solidFill>
              <a:round/>
            </a:ln>
            <a:effectLst/>
          </c:spPr>
          <c:marker>
            <c:symbol val="none"/>
          </c:marker>
          <c:xVal>
            <c:numRef>
              <c:f>発展!$M$24:$M$28</c:f>
              <c:numCache>
                <c:formatCode>General</c:formatCode>
                <c:ptCount val="5"/>
                <c:pt idx="0">
                  <c:v>1</c:v>
                </c:pt>
                <c:pt idx="1">
                  <c:v>10</c:v>
                </c:pt>
                <c:pt idx="2">
                  <c:v>100</c:v>
                </c:pt>
                <c:pt idx="3">
                  <c:v>1000</c:v>
                </c:pt>
                <c:pt idx="4">
                  <c:v>10000</c:v>
                </c:pt>
              </c:numCache>
            </c:numRef>
          </c:xVal>
          <c:yVal>
            <c:numRef>
              <c:f>発展!$O$24:$O$28</c:f>
              <c:numCache>
                <c:formatCode>General</c:formatCode>
                <c:ptCount val="5"/>
                <c:pt idx="0">
                  <c:v>2</c:v>
                </c:pt>
                <c:pt idx="1">
                  <c:v>20</c:v>
                </c:pt>
                <c:pt idx="2">
                  <c:v>200</c:v>
                </c:pt>
                <c:pt idx="3">
                  <c:v>2000</c:v>
                </c:pt>
                <c:pt idx="4">
                  <c:v>20000</c:v>
                </c:pt>
              </c:numCache>
            </c:numRef>
          </c:yVal>
          <c:smooth val="1"/>
          <c:extLst>
            <c:ext xmlns:c16="http://schemas.microsoft.com/office/drawing/2014/chart" uri="{C3380CC4-5D6E-409C-BE32-E72D297353CC}">
              <c16:uniqueId val="{00000001-D28B-4D0C-B1A3-34914AE06129}"/>
            </c:ext>
          </c:extLst>
        </c:ser>
        <c:ser>
          <c:idx val="2"/>
          <c:order val="2"/>
          <c:tx>
            <c:strRef>
              <c:f>発展!$P$23</c:f>
              <c:strCache>
                <c:ptCount val="1"/>
                <c:pt idx="0">
                  <c:v>popcnt</c:v>
                </c:pt>
              </c:strCache>
            </c:strRef>
          </c:tx>
          <c:spPr>
            <a:ln w="19050" cap="rnd">
              <a:solidFill>
                <a:schemeClr val="accent3"/>
              </a:solidFill>
              <a:round/>
            </a:ln>
            <a:effectLst/>
          </c:spPr>
          <c:marker>
            <c:symbol val="none"/>
          </c:marker>
          <c:xVal>
            <c:numRef>
              <c:f>発展!$M$24:$M$28</c:f>
              <c:numCache>
                <c:formatCode>General</c:formatCode>
                <c:ptCount val="5"/>
                <c:pt idx="0">
                  <c:v>1</c:v>
                </c:pt>
                <c:pt idx="1">
                  <c:v>10</c:v>
                </c:pt>
                <c:pt idx="2">
                  <c:v>100</c:v>
                </c:pt>
                <c:pt idx="3">
                  <c:v>1000</c:v>
                </c:pt>
                <c:pt idx="4">
                  <c:v>10000</c:v>
                </c:pt>
              </c:numCache>
            </c:numRef>
          </c:xVal>
          <c:yVal>
            <c:numRef>
              <c:f>発展!$P$24:$P$28</c:f>
              <c:numCache>
                <c:formatCode>General</c:formatCode>
                <c:ptCount val="5"/>
                <c:pt idx="0">
                  <c:v>1</c:v>
                </c:pt>
                <c:pt idx="1">
                  <c:v>10</c:v>
                </c:pt>
                <c:pt idx="2">
                  <c:v>100</c:v>
                </c:pt>
                <c:pt idx="3">
                  <c:v>1000</c:v>
                </c:pt>
                <c:pt idx="4">
                  <c:v>10000</c:v>
                </c:pt>
              </c:numCache>
            </c:numRef>
          </c:yVal>
          <c:smooth val="1"/>
          <c:extLst>
            <c:ext xmlns:c16="http://schemas.microsoft.com/office/drawing/2014/chart" uri="{C3380CC4-5D6E-409C-BE32-E72D297353CC}">
              <c16:uniqueId val="{00000002-D28B-4D0C-B1A3-34914AE06129}"/>
            </c:ext>
          </c:extLst>
        </c:ser>
        <c:ser>
          <c:idx val="3"/>
          <c:order val="3"/>
          <c:tx>
            <c:strRef>
              <c:f>発展!$Q$23</c:f>
              <c:strCache>
                <c:ptCount val="1"/>
                <c:pt idx="0">
                  <c:v>⑤論理回路</c:v>
                </c:pt>
              </c:strCache>
            </c:strRef>
          </c:tx>
          <c:spPr>
            <a:ln w="19050" cap="rnd">
              <a:solidFill>
                <a:schemeClr val="accent4"/>
              </a:solidFill>
              <a:round/>
            </a:ln>
            <a:effectLst/>
          </c:spPr>
          <c:marker>
            <c:symbol val="none"/>
          </c:marker>
          <c:xVal>
            <c:numRef>
              <c:f>発展!$M$24:$M$28</c:f>
              <c:numCache>
                <c:formatCode>General</c:formatCode>
                <c:ptCount val="5"/>
                <c:pt idx="0">
                  <c:v>1</c:v>
                </c:pt>
                <c:pt idx="1">
                  <c:v>10</c:v>
                </c:pt>
                <c:pt idx="2">
                  <c:v>100</c:v>
                </c:pt>
                <c:pt idx="3">
                  <c:v>1000</c:v>
                </c:pt>
                <c:pt idx="4">
                  <c:v>10000</c:v>
                </c:pt>
              </c:numCache>
            </c:numRef>
          </c:xVal>
          <c:yVal>
            <c:numRef>
              <c:f>発展!$Q$24:$Q$28</c:f>
              <c:numCache>
                <c:formatCode>General</c:formatCode>
                <c:ptCount val="5"/>
                <c:pt idx="0">
                  <c:v>10</c:v>
                </c:pt>
                <c:pt idx="1">
                  <c:v>30</c:v>
                </c:pt>
                <c:pt idx="2">
                  <c:v>50</c:v>
                </c:pt>
                <c:pt idx="3">
                  <c:v>70</c:v>
                </c:pt>
                <c:pt idx="4">
                  <c:v>90</c:v>
                </c:pt>
              </c:numCache>
            </c:numRef>
          </c:yVal>
          <c:smooth val="1"/>
          <c:extLst>
            <c:ext xmlns:c16="http://schemas.microsoft.com/office/drawing/2014/chart" uri="{C3380CC4-5D6E-409C-BE32-E72D297353CC}">
              <c16:uniqueId val="{00000003-D28B-4D0C-B1A3-34914AE06129}"/>
            </c:ext>
          </c:extLst>
        </c:ser>
        <c:dLbls>
          <c:showLegendKey val="0"/>
          <c:showVal val="0"/>
          <c:showCatName val="0"/>
          <c:showSerName val="0"/>
          <c:showPercent val="0"/>
          <c:showBubbleSize val="0"/>
        </c:dLbls>
        <c:axId val="896977711"/>
        <c:axId val="896980111"/>
      </c:scatterChart>
      <c:valAx>
        <c:axId val="896977711"/>
        <c:scaling>
          <c:logBase val="10"/>
          <c:orientation val="minMax"/>
          <c:max val="1000"/>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処理桁数</a:t>
                </a:r>
              </a:p>
            </c:rich>
          </c:tx>
          <c:layout>
            <c:manualLayout>
              <c:xMode val="edge"/>
              <c:yMode val="edge"/>
              <c:x val="0.4982929266543103"/>
              <c:y val="0.821091590512972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96980111"/>
        <c:crosses val="autoZero"/>
        <c:crossBetween val="midCat"/>
      </c:valAx>
      <c:valAx>
        <c:axId val="896980111"/>
        <c:scaling>
          <c:orientation val="minMax"/>
          <c:max val="1000"/>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処理時間</a:t>
                </a:r>
              </a:p>
            </c:rich>
          </c:tx>
          <c:overlay val="0"/>
          <c:spPr>
            <a:noFill/>
            <a:ln>
              <a:noFill/>
            </a:ln>
            <a:effectLst/>
          </c:spPr>
          <c:txPr>
            <a:bodyPr rot="0" spcFirstLastPara="1" vertOverflow="ellipsis" vert="eaVert"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96977711"/>
        <c:crosses val="autoZero"/>
        <c:crossBetween val="midCat"/>
      </c:valAx>
      <c:spPr>
        <a:noFill/>
        <a:ln>
          <a:noFill/>
        </a:ln>
        <a:effectLst/>
      </c:spPr>
    </c:plotArea>
    <c:legend>
      <c:legendPos val="b"/>
      <c:layout>
        <c:manualLayout>
          <c:xMode val="edge"/>
          <c:yMode val="edge"/>
          <c:x val="0.22385656769207166"/>
          <c:y val="0.91191729874302263"/>
          <c:w val="0.58177606946051186"/>
          <c:h val="5.96030413086337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219075</xdr:colOff>
      <xdr:row>3</xdr:row>
      <xdr:rowOff>142875</xdr:rowOff>
    </xdr:from>
    <xdr:to>
      <xdr:col>4</xdr:col>
      <xdr:colOff>409575</xdr:colOff>
      <xdr:row>13</xdr:row>
      <xdr:rowOff>95250</xdr:rowOff>
    </xdr:to>
    <xdr:sp macro="" textlink="">
      <xdr:nvSpPr>
        <xdr:cNvPr id="2" name="テキスト ボックス 1">
          <a:extLst>
            <a:ext uri="{FF2B5EF4-FFF2-40B4-BE49-F238E27FC236}">
              <a16:creationId xmlns:a16="http://schemas.microsoft.com/office/drawing/2014/main" id="{08A898C3-05B0-7787-FABC-7D4C0456395B}"/>
            </a:ext>
          </a:extLst>
        </xdr:cNvPr>
        <xdr:cNvSpPr txBox="1"/>
      </xdr:nvSpPr>
      <xdr:spPr>
        <a:xfrm>
          <a:off x="219075" y="857250"/>
          <a:ext cx="3067050" cy="2333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int numofbits1(int bits)</a:t>
          </a:r>
        </a:p>
        <a:p>
          <a:r>
            <a:rPr kumimoji="1" lang="en-US" altLang="ja-JP" sz="1100"/>
            <a:t>{</a:t>
          </a:r>
        </a:p>
        <a:p>
          <a:r>
            <a:rPr kumimoji="1" lang="en-US" altLang="ja-JP" sz="1100"/>
            <a:t>    int num  = 0;</a:t>
          </a:r>
        </a:p>
        <a:p>
          <a:r>
            <a:rPr kumimoji="1" lang="en-US" altLang="ja-JP" sz="1100"/>
            <a:t>    int mask = 1;</a:t>
          </a:r>
        </a:p>
        <a:p>
          <a:endParaRPr kumimoji="1" lang="en-US" altLang="ja-JP" sz="1100"/>
        </a:p>
        <a:p>
          <a:r>
            <a:rPr kumimoji="1" lang="en-US" altLang="ja-JP" sz="1100"/>
            <a:t>    for ( ; mask != 0 ; mask = mask &lt;&lt; 1 ){</a:t>
          </a:r>
        </a:p>
        <a:p>
          <a:r>
            <a:rPr kumimoji="1" lang="en-US" altLang="ja-JP" sz="1100"/>
            <a:t>        if (bits &amp; mask )</a:t>
          </a:r>
        </a:p>
        <a:p>
          <a:r>
            <a:rPr kumimoji="1" lang="en-US" altLang="ja-JP" sz="1100"/>
            <a:t>            num++;</a:t>
          </a:r>
        </a:p>
        <a:p>
          <a:r>
            <a:rPr kumimoji="1" lang="en-US" altLang="ja-JP" sz="1100"/>
            <a:t>    }</a:t>
          </a:r>
        </a:p>
        <a:p>
          <a:endParaRPr kumimoji="1" lang="en-US" altLang="ja-JP" sz="1100"/>
        </a:p>
        <a:p>
          <a:r>
            <a:rPr kumimoji="1" lang="en-US" altLang="ja-JP" sz="1100"/>
            <a:t>    return num;</a:t>
          </a:r>
        </a:p>
        <a:p>
          <a:r>
            <a:rPr kumimoji="1" lang="en-US" altLang="ja-JP" sz="1100"/>
            <a:t>}</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561975</xdr:colOff>
      <xdr:row>3</xdr:row>
      <xdr:rowOff>85724</xdr:rowOff>
    </xdr:from>
    <xdr:to>
      <xdr:col>8</xdr:col>
      <xdr:colOff>123825</xdr:colOff>
      <xdr:row>26</xdr:row>
      <xdr:rowOff>28574</xdr:rowOff>
    </xdr:to>
    <xdr:sp macro="" textlink="">
      <xdr:nvSpPr>
        <xdr:cNvPr id="2" name="テキスト ボックス 1">
          <a:extLst>
            <a:ext uri="{FF2B5EF4-FFF2-40B4-BE49-F238E27FC236}">
              <a16:creationId xmlns:a16="http://schemas.microsoft.com/office/drawing/2014/main" id="{376894A1-28EC-A435-9708-6536C1AD98ED}"/>
            </a:ext>
          </a:extLst>
        </xdr:cNvPr>
        <xdr:cNvSpPr txBox="1"/>
      </xdr:nvSpPr>
      <xdr:spPr>
        <a:xfrm>
          <a:off x="561975" y="561974"/>
          <a:ext cx="5048250" cy="5419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const int BITS_COUNT_TABLE[256] = {</a:t>
          </a:r>
        </a:p>
        <a:p>
          <a:r>
            <a:rPr kumimoji="1" lang="en-US" altLang="ja-JP" sz="1100"/>
            <a:t>    0, 1, 1, 2, 1, 2, 2, 3, 1, 2, 2, 3, 2, 3, 3, 4,</a:t>
          </a:r>
        </a:p>
        <a:p>
          <a:r>
            <a:rPr kumimoji="1" lang="en-US" altLang="ja-JP" sz="1100"/>
            <a:t>    1, 2, 2, 3, 2, 3, 3, 4, 2, 3, 3, 4, 3, 4, 4, 5,</a:t>
          </a:r>
        </a:p>
        <a:p>
          <a:r>
            <a:rPr kumimoji="1" lang="en-US" altLang="ja-JP" sz="1100"/>
            <a:t>    1, 2, 2, 3, 2, 3, 3, 4, 2, 3, 3, 4, 3, 4, 4, 5,</a:t>
          </a:r>
        </a:p>
        <a:p>
          <a:r>
            <a:rPr kumimoji="1" lang="en-US" altLang="ja-JP" sz="1100"/>
            <a:t>    2, 3, 3, 4, 3, 4, 4, 5, 3, 4, 4, 5, 4, 5, 5, 6,</a:t>
          </a:r>
        </a:p>
        <a:p>
          <a:r>
            <a:rPr kumimoji="1" lang="en-US" altLang="ja-JP" sz="1100"/>
            <a:t>    1, 2, 2, 3, 2, 3, 3, 4, 2, 3, 3, 4, 3, 4, 4, 5,</a:t>
          </a:r>
        </a:p>
        <a:p>
          <a:r>
            <a:rPr kumimoji="1" lang="en-US" altLang="ja-JP" sz="1100"/>
            <a:t>    2, 3, 3, 4, 3, 4, 4, 5, 3, 4, 4, 5, 4, 5, 5, 6,</a:t>
          </a:r>
        </a:p>
        <a:p>
          <a:r>
            <a:rPr kumimoji="1" lang="en-US" altLang="ja-JP" sz="1100"/>
            <a:t>    2, 3, 3, 4, 3, 4, 4, 5, 3, 4, 4, 5, 4, 5, 5, 6,</a:t>
          </a:r>
        </a:p>
        <a:p>
          <a:r>
            <a:rPr kumimoji="1" lang="en-US" altLang="ja-JP" sz="1100"/>
            <a:t>    3, 4, 4, 5, 4, 5, 5, 6, 4, 5, 5, 6, 5, 6, 6, 7,</a:t>
          </a:r>
        </a:p>
        <a:p>
          <a:r>
            <a:rPr kumimoji="1" lang="en-US" altLang="ja-JP" sz="1100"/>
            <a:t>    1, 2, 2, 3, 2, 3, 3, 4, 2, 3, 3, 4, 3, 4, 4, 5,</a:t>
          </a:r>
        </a:p>
        <a:p>
          <a:r>
            <a:rPr kumimoji="1" lang="en-US" altLang="ja-JP" sz="1100"/>
            <a:t>    2, 3, 3, 4, 3, 4, 4, 5, 3, 4, 4, 5, 4, 5, 5, 6,</a:t>
          </a:r>
        </a:p>
        <a:p>
          <a:r>
            <a:rPr kumimoji="1" lang="en-US" altLang="ja-JP" sz="1100"/>
            <a:t>    2, 3, 3, 4, 3, 4, 4, 5, 3, 4, 4, 5, 4, 5, 5, 6,</a:t>
          </a:r>
        </a:p>
        <a:p>
          <a:r>
            <a:rPr kumimoji="1" lang="en-US" altLang="ja-JP" sz="1100"/>
            <a:t>    3, 4, 4, 5, 4, 5, 5, 6, 4, 5, 5, 6, 5, 6, 6, 7,</a:t>
          </a:r>
        </a:p>
        <a:p>
          <a:r>
            <a:rPr kumimoji="1" lang="en-US" altLang="ja-JP" sz="1100"/>
            <a:t>    2, 3, 3, 4, 3, 4, 4, 5, 3, 4, 4, 5, 4, 5, 5, 6,</a:t>
          </a:r>
        </a:p>
        <a:p>
          <a:r>
            <a:rPr kumimoji="1" lang="en-US" altLang="ja-JP" sz="1100"/>
            <a:t>    3, 4, 4, 5, 4, 5, 5, 6, 4, 5, 5, 6, 5, 6, 6, 7,</a:t>
          </a:r>
        </a:p>
        <a:p>
          <a:r>
            <a:rPr kumimoji="1" lang="en-US" altLang="ja-JP" sz="1100"/>
            <a:t>    3, 4, 4, 5, 4, 5, 5, 6, 4, 5, 5, 6, 5, 6, 6, 7,</a:t>
          </a:r>
        </a:p>
        <a:p>
          <a:r>
            <a:rPr kumimoji="1" lang="en-US" altLang="ja-JP" sz="1100"/>
            <a:t>    4, 5, 5, 6, 5, 6, 6, 7, 5, 6, 6, 7, 6, 7, 7, 8,</a:t>
          </a:r>
        </a:p>
        <a:p>
          <a:r>
            <a:rPr kumimoji="1" lang="en-US" altLang="ja-JP" sz="1100"/>
            <a:t>};</a:t>
          </a:r>
        </a:p>
        <a:p>
          <a:endParaRPr kumimoji="1" lang="en-US" altLang="ja-JP" sz="1100"/>
        </a:p>
        <a:p>
          <a:r>
            <a:rPr kumimoji="1" lang="en-US" altLang="ja-JP" sz="1100"/>
            <a:t>int numofbits2(int bits)</a:t>
          </a:r>
        </a:p>
        <a:p>
          <a:r>
            <a:rPr kumimoji="1" lang="en-US" altLang="ja-JP" sz="1100"/>
            <a:t>{</a:t>
          </a:r>
        </a:p>
        <a:p>
          <a:r>
            <a:rPr kumimoji="1" lang="en-US" altLang="ja-JP" sz="1100"/>
            <a:t>    int num  = 0;</a:t>
          </a:r>
        </a:p>
        <a:p>
          <a:endParaRPr kumimoji="1" lang="en-US" altLang="ja-JP" sz="1100"/>
        </a:p>
        <a:p>
          <a:r>
            <a:rPr kumimoji="1" lang="en-US" altLang="ja-JP" sz="1100"/>
            <a:t>    for (int i=0 ; i&lt;sizeof(bits) ; i++ ) {</a:t>
          </a:r>
        </a:p>
        <a:p>
          <a:r>
            <a:rPr kumimoji="1" lang="en-US" altLang="ja-JP" sz="1100"/>
            <a:t>        num += BITS_COUNT_TABLE[((unsigned char*)&amp;bits)[i]];</a:t>
          </a:r>
        </a:p>
        <a:p>
          <a:r>
            <a:rPr kumimoji="1" lang="en-US" altLang="ja-JP" sz="1100"/>
            <a:t>    }</a:t>
          </a:r>
        </a:p>
        <a:p>
          <a:endParaRPr kumimoji="1" lang="en-US" altLang="ja-JP" sz="1100"/>
        </a:p>
        <a:p>
          <a:r>
            <a:rPr kumimoji="1" lang="en-US" altLang="ja-JP" sz="1100"/>
            <a:t>    return num;</a:t>
          </a:r>
        </a:p>
        <a:p>
          <a:r>
            <a:rPr kumimoji="1" lang="en-US" altLang="ja-JP" sz="1100"/>
            <a:t>}</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3</xdr:row>
      <xdr:rowOff>66675</xdr:rowOff>
    </xdr:from>
    <xdr:to>
      <xdr:col>4</xdr:col>
      <xdr:colOff>428625</xdr:colOff>
      <xdr:row>11</xdr:row>
      <xdr:rowOff>228600</xdr:rowOff>
    </xdr:to>
    <xdr:sp macro="" textlink="">
      <xdr:nvSpPr>
        <xdr:cNvPr id="2" name="テキスト ボックス 1">
          <a:extLst>
            <a:ext uri="{FF2B5EF4-FFF2-40B4-BE49-F238E27FC236}">
              <a16:creationId xmlns:a16="http://schemas.microsoft.com/office/drawing/2014/main" id="{A5BD7FCD-0775-4E0F-B4F9-AE68C2A877A5}"/>
            </a:ext>
          </a:extLst>
        </xdr:cNvPr>
        <xdr:cNvSpPr txBox="1"/>
      </xdr:nvSpPr>
      <xdr:spPr>
        <a:xfrm>
          <a:off x="114300" y="542925"/>
          <a:ext cx="3057525"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int numofbits3(int bits)</a:t>
          </a:r>
        </a:p>
        <a:p>
          <a:r>
            <a:rPr kumimoji="1" lang="en-US" altLang="ja-JP" sz="1100"/>
            <a:t>{</a:t>
          </a:r>
        </a:p>
        <a:p>
          <a:r>
            <a:rPr kumimoji="1" lang="en-US" altLang="ja-JP" sz="1100"/>
            <a:t>    int num  = 0;</a:t>
          </a:r>
        </a:p>
        <a:p>
          <a:endParaRPr kumimoji="1" lang="en-US" altLang="ja-JP" sz="1100"/>
        </a:p>
        <a:p>
          <a:r>
            <a:rPr kumimoji="1" lang="en-US" altLang="ja-JP" sz="1100"/>
            <a:t>    for ( ; bits != 0 ; bits &amp;= bits - 1 ) {</a:t>
          </a:r>
        </a:p>
        <a:p>
          <a:r>
            <a:rPr kumimoji="1" lang="en-US" altLang="ja-JP" sz="1100"/>
            <a:t>        num++;</a:t>
          </a:r>
        </a:p>
        <a:p>
          <a:r>
            <a:rPr kumimoji="1" lang="en-US" altLang="ja-JP" sz="1100"/>
            <a:t>    }</a:t>
          </a:r>
        </a:p>
        <a:p>
          <a:endParaRPr kumimoji="1" lang="en-US" altLang="ja-JP" sz="1100"/>
        </a:p>
        <a:p>
          <a:r>
            <a:rPr kumimoji="1" lang="en-US" altLang="ja-JP" sz="1100"/>
            <a:t>    return num;</a:t>
          </a:r>
        </a:p>
        <a:p>
          <a:r>
            <a:rPr kumimoji="1" lang="en-US" altLang="ja-JP" sz="1100"/>
            <a:t>}</a:t>
          </a: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161925</xdr:colOff>
      <xdr:row>3</xdr:row>
      <xdr:rowOff>152400</xdr:rowOff>
    </xdr:from>
    <xdr:to>
      <xdr:col>7</xdr:col>
      <xdr:colOff>9525</xdr:colOff>
      <xdr:row>13</xdr:row>
      <xdr:rowOff>28575</xdr:rowOff>
    </xdr:to>
    <xdr:sp macro="" textlink="">
      <xdr:nvSpPr>
        <xdr:cNvPr id="2" name="テキスト ボックス 1">
          <a:extLst>
            <a:ext uri="{FF2B5EF4-FFF2-40B4-BE49-F238E27FC236}">
              <a16:creationId xmlns:a16="http://schemas.microsoft.com/office/drawing/2014/main" id="{F773432A-CAD3-DCBE-894D-6D5D726AA101}"/>
            </a:ext>
          </a:extLst>
        </xdr:cNvPr>
        <xdr:cNvSpPr txBox="1"/>
      </xdr:nvSpPr>
      <xdr:spPr>
        <a:xfrm>
          <a:off x="161925" y="866775"/>
          <a:ext cx="4648200" cy="2257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int numofbits4(int bits)</a:t>
          </a:r>
        </a:p>
        <a:p>
          <a:r>
            <a:rPr kumimoji="1" lang="en-US" altLang="ja-JP" sz="1100"/>
            <a:t>{</a:t>
          </a:r>
        </a:p>
        <a:p>
          <a:r>
            <a:rPr kumimoji="1" lang="en-US" altLang="ja-JP" sz="1100"/>
            <a:t>    int num;</a:t>
          </a:r>
        </a:p>
        <a:p>
          <a:endParaRPr kumimoji="1" lang="en-US" altLang="ja-JP" sz="1100"/>
        </a:p>
        <a:p>
          <a:r>
            <a:rPr kumimoji="1" lang="en-US" altLang="ja-JP" sz="1100"/>
            <a:t>    num = (bits &gt;&gt; 1) &amp; 03333333333;</a:t>
          </a:r>
        </a:p>
        <a:p>
          <a:r>
            <a:rPr kumimoji="1" lang="en-US" altLang="ja-JP" sz="1100"/>
            <a:t>    num = bits - num - ((num &gt;&gt; 1) &amp; 03333333333);  </a:t>
          </a:r>
        </a:p>
        <a:p>
          <a:r>
            <a:rPr kumimoji="1" lang="en-US" altLang="ja-JP" sz="1100"/>
            <a:t>    num = ((num + (num &gt;&gt; 3)) &amp; 0707070707) % 077;</a:t>
          </a:r>
        </a:p>
        <a:p>
          <a:endParaRPr kumimoji="1" lang="en-US" altLang="ja-JP" sz="1100"/>
        </a:p>
        <a:p>
          <a:r>
            <a:rPr kumimoji="1" lang="en-US" altLang="ja-JP" sz="1100"/>
            <a:t>    return num;</a:t>
          </a:r>
        </a:p>
        <a:p>
          <a:r>
            <a:rPr kumimoji="1" lang="en-US" altLang="ja-JP" sz="1100"/>
            <a:t>}</a:t>
          </a: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323850</xdr:colOff>
      <xdr:row>3</xdr:row>
      <xdr:rowOff>209550</xdr:rowOff>
    </xdr:from>
    <xdr:to>
      <xdr:col>6</xdr:col>
      <xdr:colOff>209550</xdr:colOff>
      <xdr:row>11</xdr:row>
      <xdr:rowOff>104775</xdr:rowOff>
    </xdr:to>
    <xdr:sp macro="" textlink="">
      <xdr:nvSpPr>
        <xdr:cNvPr id="2" name="テキスト ボックス 1">
          <a:extLst>
            <a:ext uri="{FF2B5EF4-FFF2-40B4-BE49-F238E27FC236}">
              <a16:creationId xmlns:a16="http://schemas.microsoft.com/office/drawing/2014/main" id="{BCACBD6A-D9BB-89BA-64F4-A4C000E97B24}"/>
            </a:ext>
          </a:extLst>
        </xdr:cNvPr>
        <xdr:cNvSpPr txBox="1"/>
      </xdr:nvSpPr>
      <xdr:spPr>
        <a:xfrm>
          <a:off x="323850" y="923925"/>
          <a:ext cx="4000500" cy="1800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int numofbits5(long bits)</a:t>
          </a:r>
        </a:p>
        <a:p>
          <a:r>
            <a:rPr kumimoji="1" lang="en-US" altLang="ja-JP" sz="1100"/>
            <a:t>{</a:t>
          </a:r>
        </a:p>
        <a:p>
          <a:r>
            <a:rPr kumimoji="1" lang="en-US" altLang="ja-JP" sz="1100"/>
            <a:t>    bits = (bits &amp; 0x55555555) + (bits &gt;&gt; 1 &amp; 0x55555555);</a:t>
          </a:r>
        </a:p>
        <a:p>
          <a:r>
            <a:rPr kumimoji="1" lang="en-US" altLang="ja-JP" sz="1100"/>
            <a:t>    bits = (bits &amp; 0x33333333) + (bits &gt;&gt; 2 &amp; 0x33333333);</a:t>
          </a:r>
        </a:p>
        <a:p>
          <a:r>
            <a:rPr kumimoji="1" lang="en-US" altLang="ja-JP" sz="1100"/>
            <a:t>    bits = (bits &amp; 0x0f0f0f0f) + (bits &gt;&gt; 4 &amp; 0x0f0f0f0f);</a:t>
          </a:r>
        </a:p>
        <a:p>
          <a:r>
            <a:rPr kumimoji="1" lang="en-US" altLang="ja-JP" sz="1100"/>
            <a:t>    bits = (bits &amp; 0x00ff00ff) + (bits &gt;&gt; 8 &amp; 0x00ff00ff);</a:t>
          </a:r>
        </a:p>
        <a:p>
          <a:r>
            <a:rPr kumimoji="1" lang="en-US" altLang="ja-JP" sz="1100"/>
            <a:t>    return (bits &amp; 0x0000ffff) + (bits &gt;&gt;16 &amp; 0x0000ffff);</a:t>
          </a:r>
        </a:p>
        <a:p>
          <a:r>
            <a:rPr kumimoji="1" lang="en-US" altLang="ja-JP" sz="1100"/>
            <a:t>}</a:t>
          </a:r>
        </a:p>
        <a:p>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590549</xdr:colOff>
      <xdr:row>19</xdr:row>
      <xdr:rowOff>23811</xdr:rowOff>
    </xdr:from>
    <xdr:to>
      <xdr:col>19</xdr:col>
      <xdr:colOff>447674</xdr:colOff>
      <xdr:row>34</xdr:row>
      <xdr:rowOff>47625</xdr:rowOff>
    </xdr:to>
    <xdr:graphicFrame macro="">
      <xdr:nvGraphicFramePr>
        <xdr:cNvPr id="3" name="グラフ 2">
          <a:extLst>
            <a:ext uri="{FF2B5EF4-FFF2-40B4-BE49-F238E27FC236}">
              <a16:creationId xmlns:a16="http://schemas.microsoft.com/office/drawing/2014/main" id="{EC7AF314-A9FD-7A36-4920-51B552905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19050</xdr:colOff>
      <xdr:row>21</xdr:row>
      <xdr:rowOff>104775</xdr:rowOff>
    </xdr:from>
    <xdr:to>
      <xdr:col>20</xdr:col>
      <xdr:colOff>323850</xdr:colOff>
      <xdr:row>33</xdr:row>
      <xdr:rowOff>9524</xdr:rowOff>
    </xdr:to>
    <xdr:sp macro="" textlink="">
      <xdr:nvSpPr>
        <xdr:cNvPr id="2" name="テキスト ボックス 1">
          <a:extLst>
            <a:ext uri="{FF2B5EF4-FFF2-40B4-BE49-F238E27FC236}">
              <a16:creationId xmlns:a16="http://schemas.microsoft.com/office/drawing/2014/main" id="{B6946BAA-9CE1-2481-5041-A3B554C772FC}"/>
            </a:ext>
          </a:extLst>
        </xdr:cNvPr>
        <xdr:cNvSpPr txBox="1"/>
      </xdr:nvSpPr>
      <xdr:spPr>
        <a:xfrm>
          <a:off x="7562850" y="4391025"/>
          <a:ext cx="6477000" cy="2762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altLang="ja-JP" b="1"/>
            <a:t>【Claude】</a:t>
          </a:r>
          <a:r>
            <a:rPr lang="ja-JP" altLang="ja-JP" sz="1100" b="1" i="0">
              <a:solidFill>
                <a:schemeClr val="dk1"/>
              </a:solidFill>
              <a:effectLst/>
              <a:latin typeface="+mn-lt"/>
              <a:ea typeface="+mn-ea"/>
              <a:cs typeface="+mn-cs"/>
            </a:rPr>
            <a:t>評価・・・</a:t>
          </a:r>
          <a:r>
            <a:rPr lang="en-US" altLang="ja-JP" sz="1100" b="1" i="0">
              <a:solidFill>
                <a:schemeClr val="dk1"/>
              </a:solidFill>
              <a:effectLst/>
              <a:latin typeface="+mn-lt"/>
              <a:ea typeface="+mn-ea"/>
              <a:cs typeface="+mn-cs"/>
            </a:rPr>
            <a:t>80</a:t>
          </a:r>
          <a:r>
            <a:rPr lang="ja-JP" altLang="ja-JP" sz="1100" b="1" i="0">
              <a:solidFill>
                <a:schemeClr val="dk1"/>
              </a:solidFill>
              <a:effectLst/>
              <a:latin typeface="+mn-lt"/>
              <a:ea typeface="+mn-ea"/>
              <a:cs typeface="+mn-cs"/>
            </a:rPr>
            <a:t>点</a:t>
          </a:r>
          <a:endParaRPr lang="ja-JP" altLang="en-US" b="1"/>
        </a:p>
        <a:p>
          <a:pPr rtl="0"/>
          <a:endParaRPr lang="ja-JP" altLang="en-US" b="1"/>
        </a:p>
        <a:p>
          <a:pPr rtl="0"/>
          <a:r>
            <a:rPr lang="ja-JP" altLang="en-US" b="1"/>
            <a:t>解法</a:t>
          </a:r>
          <a:r>
            <a:rPr lang="en-US" altLang="ja-JP" b="1"/>
            <a:t>4:8</a:t>
          </a:r>
          <a:r>
            <a:rPr lang="ja-JP" altLang="en-US" b="1"/>
            <a:t>進数を使った技巧的な方法</a:t>
          </a:r>
          <a:br>
            <a:rPr lang="ja-JP" altLang="en-US"/>
          </a:br>
          <a:r>
            <a:rPr lang="en-US" altLang="ja-JP"/>
            <a:t>03333333333 </a:t>
          </a:r>
          <a:r>
            <a:rPr lang="ja-JP" altLang="en-US"/>
            <a:t>などは</a:t>
          </a:r>
          <a:r>
            <a:rPr lang="en-US" altLang="ja-JP"/>
            <a:t>8</a:t>
          </a:r>
          <a:r>
            <a:rPr lang="ja-JP" altLang="en-US"/>
            <a:t>進数の定数です。</a:t>
          </a:r>
        </a:p>
        <a:p>
          <a:pPr rtl="0"/>
          <a:r>
            <a:rPr lang="en-US" altLang="ja-JP">
              <a:solidFill>
                <a:srgbClr val="FF0000"/>
              </a:solidFill>
            </a:rPr>
            <a:t>1</a:t>
          </a:r>
          <a:r>
            <a:rPr lang="ja-JP" altLang="en-US">
              <a:solidFill>
                <a:srgbClr val="FF0000"/>
              </a:solidFill>
            </a:rPr>
            <a:t>行目と</a:t>
          </a:r>
          <a:r>
            <a:rPr lang="en-US" altLang="ja-JP">
              <a:solidFill>
                <a:srgbClr val="FF0000"/>
              </a:solidFill>
            </a:rPr>
            <a:t>2</a:t>
          </a:r>
          <a:r>
            <a:rPr lang="ja-JP" altLang="en-US">
              <a:solidFill>
                <a:srgbClr val="FF0000"/>
              </a:solidFill>
            </a:rPr>
            <a:t>行目で、</a:t>
          </a:r>
          <a:r>
            <a:rPr lang="en-US" altLang="ja-JP">
              <a:solidFill>
                <a:srgbClr val="FF0000"/>
              </a:solidFill>
            </a:rPr>
            <a:t>3</a:t>
          </a:r>
          <a:r>
            <a:rPr lang="ja-JP" altLang="en-US">
              <a:solidFill>
                <a:srgbClr val="FF0000"/>
              </a:solidFill>
            </a:rPr>
            <a:t>ビットずつのグループごとに</a:t>
          </a:r>
          <a:r>
            <a:rPr lang="en-US" altLang="ja-JP">
              <a:solidFill>
                <a:srgbClr val="FF0000"/>
              </a:solidFill>
            </a:rPr>
            <a:t>1</a:t>
          </a:r>
          <a:r>
            <a:rPr lang="ja-JP" altLang="en-US">
              <a:solidFill>
                <a:srgbClr val="FF0000"/>
              </a:solidFill>
            </a:rPr>
            <a:t>の個数を求めます</a:t>
          </a:r>
          <a:r>
            <a:rPr lang="en-US" altLang="ja-JP"/>
            <a:t>(</a:t>
          </a:r>
          <a:r>
            <a:rPr lang="ja-JP" altLang="en-US"/>
            <a:t>各グループの値は </a:t>
          </a:r>
          <a:r>
            <a:rPr lang="en-US" altLang="ja-JP"/>
            <a:t>0〜3)</a:t>
          </a:r>
          <a:r>
            <a:rPr lang="ja-JP" altLang="en-US"/>
            <a:t>。</a:t>
          </a:r>
        </a:p>
        <a:p>
          <a:pPr rtl="0"/>
          <a:r>
            <a:rPr lang="en-US" altLang="ja-JP">
              <a:solidFill>
                <a:srgbClr val="FF0000"/>
              </a:solidFill>
            </a:rPr>
            <a:t>3</a:t>
          </a:r>
          <a:r>
            <a:rPr lang="ja-JP" altLang="en-US">
              <a:solidFill>
                <a:srgbClr val="FF0000"/>
              </a:solidFill>
            </a:rPr>
            <a:t>行目で隣り合う</a:t>
          </a:r>
          <a:r>
            <a:rPr lang="en-US" altLang="ja-JP">
              <a:solidFill>
                <a:srgbClr val="FF0000"/>
              </a:solidFill>
            </a:rPr>
            <a:t>3</a:t>
          </a:r>
          <a:r>
            <a:rPr lang="ja-JP" altLang="en-US">
              <a:solidFill>
                <a:srgbClr val="FF0000"/>
              </a:solidFill>
            </a:rPr>
            <a:t>ビットグループを足して</a:t>
          </a:r>
          <a:r>
            <a:rPr lang="en-US" altLang="ja-JP">
              <a:solidFill>
                <a:srgbClr val="FF0000"/>
              </a:solidFill>
            </a:rPr>
            <a:t>6</a:t>
          </a:r>
          <a:r>
            <a:rPr lang="ja-JP" altLang="en-US">
              <a:solidFill>
                <a:srgbClr val="FF0000"/>
              </a:solidFill>
            </a:rPr>
            <a:t>ビットごとの個数にし</a:t>
          </a:r>
          <a:r>
            <a:rPr lang="ja-JP" altLang="en-US"/>
            <a:t>、</a:t>
          </a:r>
          <a:endParaRPr lang="en-US" altLang="ja-JP"/>
        </a:p>
        <a:p>
          <a:pPr rtl="0"/>
          <a:r>
            <a:rPr lang="en-US" altLang="ja-JP"/>
            <a:t>% 077(63</a:t>
          </a:r>
          <a:r>
            <a:rPr lang="ja-JP" altLang="en-US"/>
            <a:t>で割った余り</a:t>
          </a:r>
          <a:r>
            <a:rPr lang="en-US" altLang="ja-JP"/>
            <a:t>)</a:t>
          </a:r>
          <a:r>
            <a:rPr lang="ja-JP" altLang="en-US"/>
            <a:t>で全グループの合計を一度にまとめます。</a:t>
          </a:r>
          <a:endParaRPr lang="en-US" altLang="ja-JP"/>
        </a:p>
        <a:p>
          <a:pPr rtl="0"/>
          <a:r>
            <a:rPr lang="en-US" altLang="ja-JP">
              <a:solidFill>
                <a:srgbClr val="FF0000"/>
              </a:solidFill>
            </a:rPr>
            <a:t>6</a:t>
          </a:r>
          <a:r>
            <a:rPr lang="ja-JP" altLang="en-US">
              <a:solidFill>
                <a:srgbClr val="FF0000"/>
              </a:solidFill>
            </a:rPr>
            <a:t>ビット</a:t>
          </a:r>
          <a:r>
            <a:rPr lang="en-US" altLang="ja-JP">
              <a:solidFill>
                <a:srgbClr val="FF0000"/>
              </a:solidFill>
            </a:rPr>
            <a:t>(64</a:t>
          </a:r>
          <a:r>
            <a:rPr lang="ja-JP" altLang="en-US">
              <a:solidFill>
                <a:srgbClr val="FF0000"/>
              </a:solidFill>
            </a:rPr>
            <a:t>進</a:t>
          </a:r>
          <a:r>
            <a:rPr lang="en-US" altLang="ja-JP">
              <a:solidFill>
                <a:srgbClr val="FF0000"/>
              </a:solidFill>
            </a:rPr>
            <a:t>)</a:t>
          </a:r>
          <a:r>
            <a:rPr lang="ja-JP" altLang="en-US"/>
            <a:t>の各桁の和は</a:t>
          </a:r>
          <a:r>
            <a:rPr lang="en-US" altLang="ja-JP"/>
            <a:t>63</a:t>
          </a:r>
          <a:r>
            <a:rPr lang="ja-JP" altLang="en-US"/>
            <a:t>で割った余りと等しくなる性質を使っています。</a:t>
          </a:r>
        </a:p>
        <a:p>
          <a:pPr rtl="0"/>
          <a:r>
            <a:rPr lang="ja-JP" altLang="en-US"/>
            <a:t>分岐もループもなく速い反面、</a:t>
          </a:r>
          <a:r>
            <a:rPr lang="ja-JP" altLang="en-US">
              <a:solidFill>
                <a:srgbClr val="FF0000"/>
              </a:solidFill>
            </a:rPr>
            <a:t>読みにくいコードです。</a:t>
          </a:r>
        </a:p>
        <a:p>
          <a:endParaRPr kumimoji="1" lang="ja-JP" altLang="en-US" sz="1100"/>
        </a:p>
      </xdr:txBody>
    </xdr:sp>
    <xdr:clientData/>
  </xdr:twoCellAnchor>
  <xdr:twoCellAnchor>
    <xdr:from>
      <xdr:col>0</xdr:col>
      <xdr:colOff>0</xdr:colOff>
      <xdr:row>6</xdr:row>
      <xdr:rowOff>180976</xdr:rowOff>
    </xdr:from>
    <xdr:to>
      <xdr:col>10</xdr:col>
      <xdr:colOff>485775</xdr:colOff>
      <xdr:row>20</xdr:row>
      <xdr:rowOff>200026</xdr:rowOff>
    </xdr:to>
    <xdr:sp macro="" textlink="">
      <xdr:nvSpPr>
        <xdr:cNvPr id="3" name="テキスト ボックス 2">
          <a:extLst>
            <a:ext uri="{FF2B5EF4-FFF2-40B4-BE49-F238E27FC236}">
              <a16:creationId xmlns:a16="http://schemas.microsoft.com/office/drawing/2014/main" id="{49123DB1-9862-2B4F-0EB2-22682FDC4994}"/>
            </a:ext>
          </a:extLst>
        </xdr:cNvPr>
        <xdr:cNvSpPr txBox="1"/>
      </xdr:nvSpPr>
      <xdr:spPr>
        <a:xfrm>
          <a:off x="0" y="895351"/>
          <a:ext cx="7343775" cy="33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altLang="ja-JP" sz="1100" b="1" i="0">
              <a:solidFill>
                <a:schemeClr val="dk1"/>
              </a:solidFill>
              <a:effectLst/>
              <a:latin typeface="+mn-lt"/>
              <a:ea typeface="+mn-ea"/>
              <a:cs typeface="+mn-cs"/>
            </a:rPr>
            <a:t>【googleAI</a:t>
          </a:r>
          <a:r>
            <a:rPr lang="ja-JP" altLang="en-US" sz="1100" b="1" i="0">
              <a:solidFill>
                <a:schemeClr val="dk1"/>
              </a:solidFill>
              <a:effectLst/>
              <a:latin typeface="+mn-lt"/>
              <a:ea typeface="+mn-ea"/>
              <a:cs typeface="+mn-cs"/>
            </a:rPr>
            <a:t>モード</a:t>
          </a:r>
          <a:r>
            <a:rPr lang="en-US" altLang="ja-JP" sz="1100" b="1" i="0">
              <a:solidFill>
                <a:schemeClr val="dk1"/>
              </a:solidFill>
              <a:effectLst/>
              <a:latin typeface="+mn-lt"/>
              <a:ea typeface="+mn-ea"/>
              <a:cs typeface="+mn-cs"/>
            </a:rPr>
            <a:t>】</a:t>
          </a:r>
          <a:r>
            <a:rPr lang="ja-JP" altLang="ja-JP" sz="1100" b="1" i="0">
              <a:solidFill>
                <a:schemeClr val="dk1"/>
              </a:solidFill>
              <a:effectLst/>
              <a:latin typeface="+mn-lt"/>
              <a:ea typeface="+mn-ea"/>
              <a:cs typeface="+mn-cs"/>
            </a:rPr>
            <a:t>評価・・・</a:t>
          </a:r>
          <a:r>
            <a:rPr lang="en-US" altLang="ja-JP" sz="1100" b="1" i="0">
              <a:solidFill>
                <a:schemeClr val="dk1"/>
              </a:solidFill>
              <a:effectLst/>
              <a:latin typeface="+mn-lt"/>
              <a:ea typeface="+mn-ea"/>
              <a:cs typeface="+mn-cs"/>
            </a:rPr>
            <a:t>70</a:t>
          </a:r>
          <a:r>
            <a:rPr lang="ja-JP" altLang="ja-JP" sz="1100" b="1" i="0">
              <a:solidFill>
                <a:schemeClr val="dk1"/>
              </a:solidFill>
              <a:effectLst/>
              <a:latin typeface="+mn-lt"/>
              <a:ea typeface="+mn-ea"/>
              <a:cs typeface="+mn-cs"/>
            </a:rPr>
            <a:t>点</a:t>
          </a:r>
          <a:endParaRPr lang="ja-JP" altLang="ja-JP">
            <a:effectLst/>
          </a:endParaRPr>
        </a:p>
        <a:p>
          <a:endParaRPr lang="ja-JP" altLang="en-US" sz="1100" b="1" u="none" strike="noStrike">
            <a:solidFill>
              <a:schemeClr val="dk1"/>
            </a:solidFill>
            <a:effectLst/>
            <a:latin typeface="+mn-lt"/>
            <a:ea typeface="+mn-ea"/>
            <a:cs typeface="+mn-cs"/>
          </a:endParaRPr>
        </a:p>
        <a:p>
          <a:r>
            <a:rPr lang="ja-JP" altLang="en-US" sz="1100" b="1" u="none" strike="noStrike">
              <a:solidFill>
                <a:schemeClr val="dk1"/>
              </a:solidFill>
              <a:effectLst/>
              <a:latin typeface="+mn-lt"/>
              <a:ea typeface="+mn-ea"/>
              <a:cs typeface="+mn-cs"/>
            </a:rPr>
            <a:t>解法</a:t>
          </a:r>
          <a:r>
            <a:rPr lang="en-US" altLang="ja-JP" sz="1100" b="1" u="none" strike="noStrike">
              <a:solidFill>
                <a:schemeClr val="dk1"/>
              </a:solidFill>
              <a:effectLst/>
              <a:latin typeface="+mn-lt"/>
              <a:ea typeface="+mn-ea"/>
              <a:cs typeface="+mn-cs"/>
            </a:rPr>
            <a:t>4</a:t>
          </a:r>
          <a:r>
            <a:rPr lang="ja-JP" altLang="en-US" sz="1100" b="1" u="none" strike="noStrike">
              <a:solidFill>
                <a:schemeClr val="dk1"/>
              </a:solidFill>
              <a:effectLst/>
              <a:latin typeface="+mn-lt"/>
              <a:ea typeface="+mn-ea"/>
              <a:cs typeface="+mn-cs"/>
            </a:rPr>
            <a:t>：</a:t>
          </a:r>
          <a:r>
            <a:rPr lang="en-US" altLang="ja-JP" sz="1100" b="1" u="none" strike="noStrike">
              <a:solidFill>
                <a:schemeClr val="dk1"/>
              </a:solidFill>
              <a:effectLst/>
              <a:latin typeface="+mn-lt"/>
              <a:ea typeface="+mn-ea"/>
              <a:cs typeface="+mn-cs"/>
            </a:rPr>
            <a:t>HAKMEM</a:t>
          </a:r>
          <a:r>
            <a:rPr lang="ja-JP" altLang="en-US" sz="1100" b="1" u="none" strike="noStrike">
              <a:solidFill>
                <a:schemeClr val="dk1"/>
              </a:solidFill>
              <a:effectLst/>
              <a:latin typeface="+mn-lt"/>
              <a:ea typeface="+mn-ea"/>
              <a:cs typeface="+mn-cs"/>
            </a:rPr>
            <a:t>アルゴリズム（</a:t>
          </a:r>
          <a:r>
            <a:rPr lang="en-US" altLang="ja-JP" sz="1100" b="1" u="none" strike="noStrike">
              <a:solidFill>
                <a:schemeClr val="dk1"/>
              </a:solidFill>
              <a:effectLst/>
              <a:latin typeface="+mn-lt"/>
              <a:ea typeface="+mn-ea"/>
              <a:cs typeface="+mn-cs"/>
            </a:rPr>
            <a:t>3</a:t>
          </a:r>
          <a:r>
            <a:rPr lang="ja-JP" altLang="en-US" sz="1100" b="1" u="none" strike="noStrike">
              <a:solidFill>
                <a:schemeClr val="dk1"/>
              </a:solidFill>
              <a:effectLst/>
              <a:latin typeface="+mn-lt"/>
              <a:ea typeface="+mn-ea"/>
              <a:cs typeface="+mn-cs"/>
            </a:rPr>
            <a:t>ビット単位の並列加算）</a:t>
          </a:r>
        </a:p>
        <a:p>
          <a:r>
            <a:rPr lang="ja-JP" altLang="en-US" sz="1100" b="1" u="none" strike="noStrike">
              <a:solidFill>
                <a:schemeClr val="dk1"/>
              </a:solidFill>
              <a:effectLst/>
              <a:latin typeface="+mn-lt"/>
              <a:ea typeface="+mn-ea"/>
              <a:cs typeface="+mn-cs"/>
            </a:rPr>
            <a:t>アプローチ</a:t>
          </a:r>
          <a:r>
            <a:rPr lang="ja-JP" altLang="en-US" sz="1100" b="0" u="none" strike="noStrike">
              <a:solidFill>
                <a:schemeClr val="dk1"/>
              </a:solidFill>
              <a:effectLst/>
              <a:latin typeface="+mn-lt"/>
              <a:ea typeface="+mn-ea"/>
              <a:cs typeface="+mn-cs"/>
            </a:rPr>
            <a:t>：</a:t>
          </a:r>
          <a:r>
            <a:rPr lang="en-US" altLang="ja-JP" sz="1100" b="0" u="none" strike="noStrike">
              <a:solidFill>
                <a:schemeClr val="dk1"/>
              </a:solidFill>
              <a:effectLst/>
              <a:latin typeface="+mn-lt"/>
              <a:ea typeface="+mn-ea"/>
              <a:cs typeface="+mn-cs"/>
            </a:rPr>
            <a:t>3</a:t>
          </a:r>
          <a:r>
            <a:rPr lang="ja-JP" altLang="en-US" sz="1100" b="0" u="none" strike="noStrike">
              <a:solidFill>
                <a:schemeClr val="dk1"/>
              </a:solidFill>
              <a:effectLst/>
              <a:latin typeface="+mn-lt"/>
              <a:ea typeface="+mn-ea"/>
              <a:cs typeface="+mn-cs"/>
            </a:rPr>
            <a:t>ビットごとのグループで「</a:t>
          </a:r>
          <a:r>
            <a:rPr lang="en-US" altLang="ja-JP" sz="1100" b="0" u="none" strike="noStrike">
              <a:solidFill>
                <a:schemeClr val="dk1"/>
              </a:solidFill>
              <a:effectLst/>
              <a:latin typeface="+mn-lt"/>
              <a:ea typeface="+mn-ea"/>
              <a:cs typeface="+mn-cs"/>
            </a:rPr>
            <a:t>1</a:t>
          </a:r>
          <a:r>
            <a:rPr lang="ja-JP" altLang="en-US" sz="1100" b="0" u="none" strike="noStrike">
              <a:solidFill>
                <a:schemeClr val="dk1"/>
              </a:solidFill>
              <a:effectLst/>
              <a:latin typeface="+mn-lt"/>
              <a:ea typeface="+mn-ea"/>
              <a:cs typeface="+mn-cs"/>
            </a:rPr>
            <a:t>」の数を並列計算する</a:t>
          </a:r>
          <a:endParaRPr lang="en-US" altLang="ja-JP" sz="1100" b="0" u="none" strike="noStrike">
            <a:solidFill>
              <a:schemeClr val="dk1"/>
            </a:solidFill>
            <a:effectLst/>
            <a:latin typeface="+mn-lt"/>
            <a:ea typeface="+mn-ea"/>
            <a:cs typeface="+mn-cs"/>
          </a:endParaRPr>
        </a:p>
        <a:p>
          <a:r>
            <a:rPr lang="ja-JP" altLang="en-US" sz="1100" b="0" u="none" strike="noStrike">
              <a:solidFill>
                <a:schemeClr val="dk1"/>
              </a:solidFill>
              <a:effectLst/>
              <a:latin typeface="+mn-lt"/>
              <a:ea typeface="+mn-ea"/>
              <a:cs typeface="+mn-cs"/>
            </a:rPr>
            <a:t>（マサチューセッツ工科大学の</a:t>
          </a:r>
          <a:r>
            <a:rPr lang="en-US" altLang="ja-JP" sz="1100" b="0" u="none" strike="noStrike">
              <a:solidFill>
                <a:schemeClr val="dk1"/>
              </a:solidFill>
              <a:effectLst/>
              <a:latin typeface="+mn-lt"/>
              <a:ea typeface="+mn-ea"/>
              <a:cs typeface="+mn-cs"/>
            </a:rPr>
            <a:t>AI</a:t>
          </a:r>
          <a:r>
            <a:rPr lang="ja-JP" altLang="en-US" sz="1100" b="0" u="none" strike="noStrike">
              <a:solidFill>
                <a:schemeClr val="dk1"/>
              </a:solidFill>
              <a:effectLst/>
              <a:latin typeface="+mn-lt"/>
              <a:ea typeface="+mn-ea"/>
              <a:cs typeface="+mn-cs"/>
            </a:rPr>
            <a:t>メモが発祥の有名なパズル的技法）</a:t>
          </a:r>
        </a:p>
        <a:p>
          <a:r>
            <a:rPr lang="ja-JP" altLang="en-US" sz="1100" b="1" u="none" strike="noStrike">
              <a:solidFill>
                <a:schemeClr val="dk1"/>
              </a:solidFill>
              <a:effectLst/>
              <a:latin typeface="+mn-lt"/>
              <a:ea typeface="+mn-ea"/>
              <a:cs typeface="+mn-cs"/>
            </a:rPr>
            <a:t>コードの意味</a:t>
          </a:r>
          <a:r>
            <a:rPr lang="ja-JP" altLang="en-US" sz="1100" b="0" u="none" strike="noStrike">
              <a:solidFill>
                <a:schemeClr val="dk1"/>
              </a:solidFill>
              <a:effectLst/>
              <a:latin typeface="+mn-lt"/>
              <a:ea typeface="+mn-ea"/>
              <a:cs typeface="+mn-cs"/>
            </a:rPr>
            <a:t>：</a:t>
          </a:r>
        </a:p>
        <a:p>
          <a:pPr lvl="1"/>
          <a:r>
            <a:rPr lang="en-US" altLang="ja-JP" sz="1100" b="0" u="none" strike="noStrike">
              <a:solidFill>
                <a:schemeClr val="dk1"/>
              </a:solidFill>
              <a:effectLst/>
              <a:latin typeface="+mn-lt"/>
              <a:ea typeface="+mn-ea"/>
              <a:cs typeface="+mn-cs"/>
            </a:rPr>
            <a:t>03333333333 </a:t>
          </a:r>
          <a:r>
            <a:rPr lang="ja-JP" altLang="en-US" sz="1100" b="0" u="none" strike="noStrike">
              <a:solidFill>
                <a:schemeClr val="dk1"/>
              </a:solidFill>
              <a:effectLst/>
              <a:latin typeface="+mn-lt"/>
              <a:ea typeface="+mn-ea"/>
              <a:cs typeface="+mn-cs"/>
            </a:rPr>
            <a:t>や </a:t>
          </a:r>
          <a:r>
            <a:rPr lang="en-US" altLang="ja-JP" sz="1100" b="0" u="none" strike="noStrike">
              <a:solidFill>
                <a:schemeClr val="dk1"/>
              </a:solidFill>
              <a:effectLst/>
              <a:latin typeface="+mn-lt"/>
              <a:ea typeface="+mn-ea"/>
              <a:cs typeface="+mn-cs"/>
            </a:rPr>
            <a:t>0707070707 </a:t>
          </a:r>
          <a:r>
            <a:rPr lang="ja-JP" altLang="en-US" sz="1100" b="0" u="none" strike="noStrike">
              <a:solidFill>
                <a:schemeClr val="dk1"/>
              </a:solidFill>
              <a:effectLst/>
              <a:latin typeface="+mn-lt"/>
              <a:ea typeface="+mn-ea"/>
              <a:cs typeface="+mn-cs"/>
            </a:rPr>
            <a:t>は</a:t>
          </a:r>
          <a:r>
            <a:rPr lang="en-US" altLang="ja-JP" sz="1100" b="1" u="none" strike="noStrike">
              <a:solidFill>
                <a:schemeClr val="dk1"/>
              </a:solidFill>
              <a:effectLst/>
              <a:latin typeface="+mn-lt"/>
              <a:ea typeface="+mn-ea"/>
              <a:cs typeface="+mn-cs"/>
            </a:rPr>
            <a:t>8</a:t>
          </a:r>
          <a:r>
            <a:rPr lang="ja-JP" altLang="en-US" sz="1100" b="1" u="none" strike="noStrike">
              <a:solidFill>
                <a:schemeClr val="dk1"/>
              </a:solidFill>
              <a:effectLst/>
              <a:latin typeface="+mn-lt"/>
              <a:ea typeface="+mn-ea"/>
              <a:cs typeface="+mn-cs"/>
            </a:rPr>
            <a:t>進数</a:t>
          </a:r>
          <a:r>
            <a:rPr lang="ja-JP" altLang="en-US" sz="1100" b="0" u="none" strike="noStrike">
              <a:solidFill>
                <a:schemeClr val="dk1"/>
              </a:solidFill>
              <a:effectLst/>
              <a:latin typeface="+mn-lt"/>
              <a:ea typeface="+mn-ea"/>
              <a:cs typeface="+mn-cs"/>
            </a:rPr>
            <a:t>の表記です（</a:t>
          </a:r>
          <a:r>
            <a:rPr lang="en-US" altLang="ja-JP" sz="1100" b="0" u="none" strike="noStrike">
              <a:solidFill>
                <a:schemeClr val="dk1"/>
              </a:solidFill>
              <a:effectLst/>
              <a:latin typeface="+mn-lt"/>
              <a:ea typeface="+mn-ea"/>
              <a:cs typeface="+mn-cs"/>
            </a:rPr>
            <a:t>3</a:t>
          </a:r>
          <a:r>
            <a:rPr lang="ja-JP" altLang="en-US" sz="1100" b="0" u="none" strike="noStrike">
              <a:solidFill>
                <a:schemeClr val="dk1"/>
              </a:solidFill>
              <a:effectLst/>
              <a:latin typeface="+mn-lt"/>
              <a:ea typeface="+mn-ea"/>
              <a:cs typeface="+mn-cs"/>
            </a:rPr>
            <a:t>ビット単位の処理に向いているため）。</a:t>
          </a:r>
        </a:p>
        <a:p>
          <a:pPr lvl="1"/>
          <a:r>
            <a:rPr lang="ja-JP" altLang="en-US" sz="1100" b="0" u="none" strike="noStrike">
              <a:solidFill>
                <a:schemeClr val="dk1"/>
              </a:solidFill>
              <a:effectLst/>
              <a:latin typeface="+mn-lt"/>
              <a:ea typeface="+mn-ea"/>
              <a:cs typeface="+mn-cs"/>
            </a:rPr>
            <a:t>最初の</a:t>
          </a:r>
          <a:r>
            <a:rPr lang="en-US" altLang="ja-JP" sz="1100" b="0" u="none" strike="noStrike">
              <a:solidFill>
                <a:schemeClr val="dk1"/>
              </a:solidFill>
              <a:effectLst/>
              <a:latin typeface="+mn-lt"/>
              <a:ea typeface="+mn-ea"/>
              <a:cs typeface="+mn-cs"/>
            </a:rPr>
            <a:t>2</a:t>
          </a:r>
          <a:r>
            <a:rPr lang="ja-JP" altLang="en-US" sz="1100" b="0" u="none" strike="noStrike">
              <a:solidFill>
                <a:schemeClr val="dk1"/>
              </a:solidFill>
              <a:effectLst/>
              <a:latin typeface="+mn-lt"/>
              <a:ea typeface="+mn-ea"/>
              <a:cs typeface="+mn-cs"/>
            </a:rPr>
            <a:t>行で、</a:t>
          </a:r>
          <a:r>
            <a:rPr lang="en-US" altLang="ja-JP" sz="1100" b="0" u="none" strike="noStrike">
              <a:solidFill>
                <a:schemeClr val="dk1"/>
              </a:solidFill>
              <a:effectLst/>
              <a:latin typeface="+mn-lt"/>
              <a:ea typeface="+mn-ea"/>
              <a:cs typeface="+mn-cs"/>
            </a:rPr>
            <a:t>3</a:t>
          </a:r>
          <a:r>
            <a:rPr lang="ja-JP" altLang="en-US" sz="1100" b="0" u="none" strike="noStrike">
              <a:solidFill>
                <a:schemeClr val="dk1"/>
              </a:solidFill>
              <a:effectLst/>
              <a:latin typeface="+mn-lt"/>
              <a:ea typeface="+mn-ea"/>
              <a:cs typeface="+mn-cs"/>
            </a:rPr>
            <a:t>ビットの各グループ内にある</a:t>
          </a:r>
          <a:r>
            <a:rPr lang="en-US" altLang="ja-JP" sz="1100" b="0" u="none" strike="noStrike">
              <a:solidFill>
                <a:schemeClr val="dk1"/>
              </a:solidFill>
              <a:effectLst/>
              <a:latin typeface="+mn-lt"/>
              <a:ea typeface="+mn-ea"/>
              <a:cs typeface="+mn-cs"/>
            </a:rPr>
            <a:t>1</a:t>
          </a:r>
          <a:r>
            <a:rPr lang="ja-JP" altLang="en-US" sz="1100" b="0" u="none" strike="noStrike">
              <a:solidFill>
                <a:schemeClr val="dk1"/>
              </a:solidFill>
              <a:effectLst/>
              <a:latin typeface="+mn-lt"/>
              <a:ea typeface="+mn-ea"/>
              <a:cs typeface="+mn-cs"/>
            </a:rPr>
            <a:t>の数を、</a:t>
          </a:r>
          <a:endParaRPr lang="en-US" altLang="ja-JP" sz="1100" b="0" u="none" strike="noStrike">
            <a:solidFill>
              <a:schemeClr val="dk1"/>
            </a:solidFill>
            <a:effectLst/>
            <a:latin typeface="+mn-lt"/>
            <a:ea typeface="+mn-ea"/>
            <a:cs typeface="+mn-cs"/>
          </a:endParaRPr>
        </a:p>
        <a:p>
          <a:pPr lvl="1"/>
          <a:r>
            <a:rPr lang="ja-JP" altLang="en-US" sz="1100" b="0" u="none" strike="noStrike">
              <a:solidFill>
                <a:schemeClr val="dk1"/>
              </a:solidFill>
              <a:effectLst/>
              <a:latin typeface="+mn-lt"/>
              <a:ea typeface="+mn-ea"/>
              <a:cs typeface="+mn-cs"/>
            </a:rPr>
            <a:t>ビット演算のトリックを用いてその</a:t>
          </a:r>
          <a:r>
            <a:rPr lang="en-US" altLang="ja-JP" sz="1100" b="0" u="none" strike="noStrike">
              <a:solidFill>
                <a:schemeClr val="dk1"/>
              </a:solidFill>
              <a:effectLst/>
              <a:latin typeface="+mn-lt"/>
              <a:ea typeface="+mn-ea"/>
              <a:cs typeface="+mn-cs"/>
            </a:rPr>
            <a:t>3</a:t>
          </a:r>
          <a:r>
            <a:rPr lang="ja-JP" altLang="en-US" sz="1100" b="0" u="none" strike="noStrike">
              <a:solidFill>
                <a:schemeClr val="dk1"/>
              </a:solidFill>
              <a:effectLst/>
              <a:latin typeface="+mn-lt"/>
              <a:ea typeface="+mn-ea"/>
              <a:cs typeface="+mn-cs"/>
            </a:rPr>
            <a:t>ビットの領域内に直接書き込みます</a:t>
          </a:r>
          <a:endParaRPr lang="en-US" altLang="ja-JP" sz="1100" b="0" u="none" strike="noStrike">
            <a:solidFill>
              <a:schemeClr val="dk1"/>
            </a:solidFill>
            <a:effectLst/>
            <a:latin typeface="+mn-lt"/>
            <a:ea typeface="+mn-ea"/>
            <a:cs typeface="+mn-cs"/>
          </a:endParaRPr>
        </a:p>
        <a:p>
          <a:pPr lvl="1"/>
          <a:r>
            <a:rPr lang="ja-JP" altLang="en-US" sz="1100" b="0" u="none" strike="noStrike">
              <a:solidFill>
                <a:schemeClr val="dk1"/>
              </a:solidFill>
              <a:effectLst/>
              <a:latin typeface="+mn-lt"/>
              <a:ea typeface="+mn-ea"/>
              <a:cs typeface="+mn-cs"/>
            </a:rPr>
            <a:t>（例：</a:t>
          </a:r>
          <a:r>
            <a:rPr lang="en-US" altLang="ja-JP" sz="1100" b="0" u="none" strike="noStrike">
              <a:solidFill>
                <a:schemeClr val="dk1"/>
              </a:solidFill>
              <a:effectLst/>
              <a:latin typeface="+mn-lt"/>
              <a:ea typeface="+mn-ea"/>
              <a:cs typeface="+mn-cs"/>
            </a:rPr>
            <a:t>111</a:t>
          </a:r>
          <a:r>
            <a:rPr lang="ja-JP" altLang="en-US" sz="1100" b="0" u="none" strike="noStrike">
              <a:solidFill>
                <a:schemeClr val="dk1"/>
              </a:solidFill>
              <a:effectLst/>
              <a:latin typeface="+mn-lt"/>
              <a:ea typeface="+mn-ea"/>
              <a:cs typeface="+mn-cs"/>
            </a:rPr>
            <a:t>なら</a:t>
          </a:r>
          <a:r>
            <a:rPr lang="en-US" altLang="ja-JP" sz="1100" b="0" u="none" strike="noStrike">
              <a:solidFill>
                <a:schemeClr val="dk1"/>
              </a:solidFill>
              <a:effectLst/>
              <a:latin typeface="+mn-lt"/>
              <a:ea typeface="+mn-ea"/>
              <a:cs typeface="+mn-cs"/>
            </a:rPr>
            <a:t>3</a:t>
          </a:r>
          <a:r>
            <a:rPr lang="ja-JP" altLang="en-US" sz="1100" b="0" u="none" strike="noStrike">
              <a:solidFill>
                <a:schemeClr val="dk1"/>
              </a:solidFill>
              <a:effectLst/>
              <a:latin typeface="+mn-lt"/>
              <a:ea typeface="+mn-ea"/>
              <a:cs typeface="+mn-cs"/>
            </a:rPr>
            <a:t>ビット領域の計算結果が</a:t>
          </a:r>
          <a:r>
            <a:rPr lang="en-US" altLang="ja-JP" sz="1100" b="0" u="none" strike="noStrike">
              <a:solidFill>
                <a:schemeClr val="dk1"/>
              </a:solidFill>
              <a:effectLst/>
              <a:latin typeface="+mn-lt"/>
              <a:ea typeface="+mn-ea"/>
              <a:cs typeface="+mn-cs"/>
            </a:rPr>
            <a:t>011</a:t>
          </a:r>
          <a:r>
            <a:rPr lang="ja-JP" altLang="en-US" sz="1100" b="0" u="none" strike="noStrike">
              <a:solidFill>
                <a:schemeClr val="dk1"/>
              </a:solidFill>
              <a:effectLst/>
              <a:latin typeface="+mn-lt"/>
              <a:ea typeface="+mn-ea"/>
              <a:cs typeface="+mn-cs"/>
            </a:rPr>
            <a:t>（</a:t>
          </a:r>
          <a:r>
            <a:rPr lang="en-US" altLang="ja-JP" sz="1100" b="0" u="none" strike="noStrike">
              <a:solidFill>
                <a:schemeClr val="dk1"/>
              </a:solidFill>
              <a:effectLst/>
              <a:latin typeface="+mn-lt"/>
              <a:ea typeface="+mn-ea"/>
              <a:cs typeface="+mn-cs"/>
            </a:rPr>
            <a:t>3</a:t>
          </a:r>
          <a:r>
            <a:rPr lang="ja-JP" altLang="en-US" sz="1100" b="0" u="none" strike="noStrike">
              <a:solidFill>
                <a:schemeClr val="dk1"/>
              </a:solidFill>
              <a:effectLst/>
              <a:latin typeface="+mn-lt"/>
              <a:ea typeface="+mn-ea"/>
              <a:cs typeface="+mn-cs"/>
            </a:rPr>
            <a:t>）になる）。</a:t>
          </a:r>
        </a:p>
        <a:p>
          <a:pPr lvl="1"/>
          <a:r>
            <a:rPr lang="ja-JP" altLang="en-US" sz="1100" b="0" u="none" strike="noStrike">
              <a:solidFill>
                <a:schemeClr val="dk1"/>
              </a:solidFill>
              <a:effectLst/>
              <a:latin typeface="+mn-lt"/>
              <a:ea typeface="+mn-ea"/>
              <a:cs typeface="+mn-cs"/>
            </a:rPr>
            <a:t>最後の</a:t>
          </a:r>
          <a:r>
            <a:rPr lang="en-US" altLang="ja-JP" sz="1100" b="0" u="none" strike="noStrike">
              <a:solidFill>
                <a:schemeClr val="dk1"/>
              </a:solidFill>
              <a:effectLst/>
              <a:latin typeface="+mn-lt"/>
              <a:ea typeface="+mn-ea"/>
              <a:cs typeface="+mn-cs"/>
            </a:rPr>
            <a:t>3</a:t>
          </a:r>
          <a:r>
            <a:rPr lang="ja-JP" altLang="en-US" sz="1100" b="0" u="none" strike="noStrike">
              <a:solidFill>
                <a:schemeClr val="dk1"/>
              </a:solidFill>
              <a:effectLst/>
              <a:latin typeface="+mn-lt"/>
              <a:ea typeface="+mn-ea"/>
              <a:cs typeface="+mn-cs"/>
            </a:rPr>
            <a:t>行目で、各グループの値を集計し、</a:t>
          </a:r>
          <a:endParaRPr lang="en-US" altLang="ja-JP" sz="1100" b="0" u="none" strike="noStrike">
            <a:solidFill>
              <a:schemeClr val="dk1"/>
            </a:solidFill>
            <a:effectLst/>
            <a:latin typeface="+mn-lt"/>
            <a:ea typeface="+mn-ea"/>
            <a:cs typeface="+mn-cs"/>
          </a:endParaRPr>
        </a:p>
        <a:p>
          <a:pPr lvl="1"/>
          <a:r>
            <a:rPr lang="ja-JP" altLang="en-US" sz="1100" b="0" u="none" strike="noStrike">
              <a:solidFill>
                <a:schemeClr val="dk1"/>
              </a:solidFill>
              <a:effectLst/>
              <a:latin typeface="+mn-lt"/>
              <a:ea typeface="+mn-ea"/>
              <a:cs typeface="+mn-cs"/>
            </a:rPr>
            <a:t>さらに </a:t>
          </a:r>
          <a:r>
            <a:rPr lang="en-US" altLang="ja-JP" sz="1100" b="0" u="none" strike="noStrike">
              <a:solidFill>
                <a:schemeClr val="dk1"/>
              </a:solidFill>
              <a:effectLst/>
              <a:latin typeface="+mn-lt"/>
              <a:ea typeface="+mn-ea"/>
              <a:cs typeface="+mn-cs"/>
            </a:rPr>
            <a:t>077</a:t>
          </a:r>
          <a:r>
            <a:rPr lang="ja-JP" altLang="en-US" sz="1100" b="0" u="none" strike="noStrike">
              <a:solidFill>
                <a:schemeClr val="dk1"/>
              </a:solidFill>
              <a:effectLst/>
              <a:latin typeface="+mn-lt"/>
              <a:ea typeface="+mn-ea"/>
              <a:cs typeface="+mn-cs"/>
            </a:rPr>
            <a:t>（</a:t>
          </a:r>
          <a:r>
            <a:rPr lang="en-US" altLang="ja-JP" sz="1100" b="0" u="none" strike="noStrike">
              <a:solidFill>
                <a:schemeClr val="dk1"/>
              </a:solidFill>
              <a:effectLst/>
              <a:latin typeface="+mn-lt"/>
              <a:ea typeface="+mn-ea"/>
              <a:cs typeface="+mn-cs"/>
            </a:rPr>
            <a:t>63</a:t>
          </a:r>
          <a:r>
            <a:rPr lang="ja-JP" altLang="en-US" sz="1100" b="0" u="none" strike="noStrike">
              <a:solidFill>
                <a:schemeClr val="dk1"/>
              </a:solidFill>
              <a:effectLst/>
              <a:latin typeface="+mn-lt"/>
              <a:ea typeface="+mn-ea"/>
              <a:cs typeface="+mn-cs"/>
            </a:rPr>
            <a:t>）で割った余り（余剰算の性質）を利用して、すべての合計を</a:t>
          </a:r>
          <a:r>
            <a:rPr lang="en-US" altLang="ja-JP" sz="1100" b="0" u="none" strike="noStrike">
              <a:solidFill>
                <a:schemeClr val="dk1"/>
              </a:solidFill>
              <a:effectLst/>
              <a:latin typeface="+mn-lt"/>
              <a:ea typeface="+mn-ea"/>
              <a:cs typeface="+mn-cs"/>
            </a:rPr>
            <a:t>1</a:t>
          </a:r>
          <a:r>
            <a:rPr lang="ja-JP" altLang="en-US" sz="1100" b="0" u="none" strike="noStrike">
              <a:solidFill>
                <a:schemeClr val="dk1"/>
              </a:solidFill>
              <a:effectLst/>
              <a:latin typeface="+mn-lt"/>
              <a:ea typeface="+mn-ea"/>
              <a:cs typeface="+mn-cs"/>
            </a:rPr>
            <a:t>発で算出します。</a:t>
          </a:r>
        </a:p>
        <a:p>
          <a:endParaRPr kumimoji="1" lang="ja-JP" altLang="en-US" sz="1100"/>
        </a:p>
      </xdr:txBody>
    </xdr:sp>
    <xdr:clientData/>
  </xdr:twoCellAnchor>
  <xdr:twoCellAnchor>
    <xdr:from>
      <xdr:col>11</xdr:col>
      <xdr:colOff>19051</xdr:colOff>
      <xdr:row>6</xdr:row>
      <xdr:rowOff>200025</xdr:rowOff>
    </xdr:from>
    <xdr:to>
      <xdr:col>20</xdr:col>
      <xdr:colOff>295275</xdr:colOff>
      <xdr:row>20</xdr:row>
      <xdr:rowOff>190500</xdr:rowOff>
    </xdr:to>
    <xdr:sp macro="" textlink="">
      <xdr:nvSpPr>
        <xdr:cNvPr id="4" name="テキスト ボックス 3">
          <a:extLst>
            <a:ext uri="{FF2B5EF4-FFF2-40B4-BE49-F238E27FC236}">
              <a16:creationId xmlns:a16="http://schemas.microsoft.com/office/drawing/2014/main" id="{7F05CDF5-5560-6F2A-2666-07F9A47D5E98}"/>
            </a:ext>
          </a:extLst>
        </xdr:cNvPr>
        <xdr:cNvSpPr txBox="1"/>
      </xdr:nvSpPr>
      <xdr:spPr>
        <a:xfrm>
          <a:off x="7562851" y="914400"/>
          <a:ext cx="6448424" cy="3324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altLang="ja-JP" sz="1100" b="1" i="0">
              <a:solidFill>
                <a:schemeClr val="dk1"/>
              </a:solidFill>
              <a:effectLst/>
              <a:latin typeface="+mn-lt"/>
              <a:ea typeface="+mn-ea"/>
              <a:cs typeface="+mn-cs"/>
            </a:rPr>
            <a:t>【copilot】</a:t>
          </a:r>
          <a:r>
            <a:rPr lang="ja-JP" altLang="en-US" sz="1100" b="1" i="0">
              <a:solidFill>
                <a:schemeClr val="dk1"/>
              </a:solidFill>
              <a:effectLst/>
              <a:latin typeface="+mn-lt"/>
              <a:ea typeface="+mn-ea"/>
              <a:cs typeface="+mn-cs"/>
            </a:rPr>
            <a:t>評価・・・</a:t>
          </a:r>
          <a:r>
            <a:rPr lang="en-US" altLang="ja-JP" sz="1100" b="1" i="0">
              <a:solidFill>
                <a:schemeClr val="dk1"/>
              </a:solidFill>
              <a:effectLst/>
              <a:latin typeface="+mn-lt"/>
              <a:ea typeface="+mn-ea"/>
              <a:cs typeface="+mn-cs"/>
            </a:rPr>
            <a:t>20</a:t>
          </a:r>
          <a:r>
            <a:rPr lang="ja-JP" altLang="en-US" sz="1100" b="1" i="0">
              <a:solidFill>
                <a:schemeClr val="dk1"/>
              </a:solidFill>
              <a:effectLst/>
              <a:latin typeface="+mn-lt"/>
              <a:ea typeface="+mn-ea"/>
              <a:cs typeface="+mn-cs"/>
            </a:rPr>
            <a:t>点</a:t>
          </a:r>
          <a:endParaRPr lang="en-US" altLang="ja-JP" sz="1100" b="1" i="0">
            <a:solidFill>
              <a:schemeClr val="dk1"/>
            </a:solidFill>
            <a:effectLst/>
            <a:latin typeface="+mn-lt"/>
            <a:ea typeface="+mn-ea"/>
            <a:cs typeface="+mn-cs"/>
          </a:endParaRPr>
        </a:p>
        <a:p>
          <a:pPr fontAlgn="t"/>
          <a:endParaRPr lang="en-US" altLang="ja-JP" sz="1100" b="1" i="0">
            <a:solidFill>
              <a:schemeClr val="dk1"/>
            </a:solidFill>
            <a:effectLst/>
            <a:latin typeface="+mn-lt"/>
            <a:ea typeface="+mn-ea"/>
            <a:cs typeface="+mn-cs"/>
          </a:endParaRPr>
        </a:p>
        <a:p>
          <a:pPr fontAlgn="t"/>
          <a:r>
            <a:rPr lang="ja-JP" altLang="en-US" sz="1100" b="1" i="0">
              <a:solidFill>
                <a:schemeClr val="dk1"/>
              </a:solidFill>
              <a:effectLst/>
              <a:latin typeface="+mn-lt"/>
              <a:ea typeface="+mn-ea"/>
              <a:cs typeface="+mn-cs"/>
            </a:rPr>
            <a:t>解法</a:t>
          </a:r>
          <a:r>
            <a:rPr lang="en-US" altLang="ja-JP" sz="1100" b="1" i="0">
              <a:solidFill>
                <a:schemeClr val="dk1"/>
              </a:solidFill>
              <a:effectLst/>
              <a:latin typeface="+mn-lt"/>
              <a:ea typeface="+mn-ea"/>
              <a:cs typeface="+mn-cs"/>
            </a:rPr>
            <a:t>4</a:t>
          </a:r>
          <a:r>
            <a:rPr lang="ja-JP" altLang="en-US" sz="1100" b="1" i="0">
              <a:solidFill>
                <a:schemeClr val="dk1"/>
              </a:solidFill>
              <a:effectLst/>
              <a:latin typeface="+mn-lt"/>
              <a:ea typeface="+mn-ea"/>
              <a:cs typeface="+mn-cs"/>
            </a:rPr>
            <a:t>：ビット演算だけでまとめて数える</a:t>
          </a:r>
        </a:p>
        <a:p>
          <a:pPr fontAlgn="t"/>
          <a:r>
            <a:rPr lang="ja-JP" altLang="en-US" sz="1100" b="1" i="0">
              <a:solidFill>
                <a:schemeClr val="dk1"/>
              </a:solidFill>
              <a:effectLst/>
              <a:latin typeface="+mn-lt"/>
              <a:ea typeface="+mn-ea"/>
              <a:cs typeface="+mn-cs"/>
            </a:rPr>
            <a:t>考え方</a:t>
          </a:r>
        </a:p>
        <a:p>
          <a:pPr fontAlgn="t"/>
          <a:r>
            <a:rPr lang="ja-JP" altLang="en-US" sz="1100" b="0" i="0">
              <a:solidFill>
                <a:schemeClr val="dk1"/>
              </a:solidFill>
              <a:effectLst/>
              <a:latin typeface="+mn-lt"/>
              <a:ea typeface="+mn-ea"/>
              <a:cs typeface="+mn-cs"/>
            </a:rPr>
            <a:t>隣接するビットをまとめながら、</a:t>
          </a:r>
        </a:p>
        <a:p>
          <a:pPr fontAlgn="t"/>
          <a:r>
            <a:rPr lang="en-US" altLang="ja-JP" sz="1100" b="0" i="0">
              <a:solidFill>
                <a:srgbClr val="FF0000"/>
              </a:solidFill>
              <a:effectLst/>
              <a:latin typeface="+mn-lt"/>
              <a:ea typeface="+mn-ea"/>
              <a:cs typeface="+mn-cs"/>
            </a:rPr>
            <a:t>1</a:t>
          </a:r>
          <a:r>
            <a:rPr lang="ja-JP" altLang="en-US" sz="1100" b="0" i="0">
              <a:solidFill>
                <a:srgbClr val="FF0000"/>
              </a:solidFill>
              <a:effectLst/>
              <a:latin typeface="+mn-lt"/>
              <a:ea typeface="+mn-ea"/>
              <a:cs typeface="+mn-cs"/>
            </a:rPr>
            <a:t>ビット単位 ↓ </a:t>
          </a:r>
          <a:r>
            <a:rPr lang="en-US" altLang="ja-JP" sz="1100" b="0" i="0">
              <a:solidFill>
                <a:srgbClr val="FF0000"/>
              </a:solidFill>
              <a:effectLst/>
              <a:latin typeface="+mn-lt"/>
              <a:ea typeface="+mn-ea"/>
              <a:cs typeface="+mn-cs"/>
            </a:rPr>
            <a:t>2</a:t>
          </a:r>
          <a:r>
            <a:rPr lang="ja-JP" altLang="en-US" sz="1100" b="0" i="0">
              <a:solidFill>
                <a:srgbClr val="FF0000"/>
              </a:solidFill>
              <a:effectLst/>
              <a:latin typeface="+mn-lt"/>
              <a:ea typeface="+mn-ea"/>
              <a:cs typeface="+mn-cs"/>
            </a:rPr>
            <a:t>ビット単位 ↓ </a:t>
          </a:r>
          <a:r>
            <a:rPr lang="en-US" altLang="ja-JP" sz="1100" b="0" i="0">
              <a:solidFill>
                <a:srgbClr val="FF0000"/>
              </a:solidFill>
              <a:effectLst/>
              <a:latin typeface="+mn-lt"/>
              <a:ea typeface="+mn-ea"/>
              <a:cs typeface="+mn-cs"/>
            </a:rPr>
            <a:t>4</a:t>
          </a:r>
          <a:r>
            <a:rPr lang="ja-JP" altLang="en-US" sz="1100" b="0" i="0">
              <a:solidFill>
                <a:srgbClr val="FF0000"/>
              </a:solidFill>
              <a:effectLst/>
              <a:latin typeface="+mn-lt"/>
              <a:ea typeface="+mn-ea"/>
              <a:cs typeface="+mn-cs"/>
            </a:rPr>
            <a:t>ビット単位 ↓ 全体 と集計していく方法です。</a:t>
          </a:r>
          <a:endParaRPr lang="en-US" altLang="ja-JP" sz="1100" b="0" i="0">
            <a:solidFill>
              <a:srgbClr val="FF0000"/>
            </a:solidFill>
            <a:effectLst/>
            <a:latin typeface="+mn-lt"/>
            <a:ea typeface="+mn-ea"/>
            <a:cs typeface="+mn-cs"/>
          </a:endParaRPr>
        </a:p>
        <a:p>
          <a:pPr fontAlgn="t"/>
          <a:r>
            <a:rPr lang="ja-JP" altLang="en-US" sz="1100" b="0" i="0">
              <a:solidFill>
                <a:schemeClr val="dk1"/>
              </a:solidFill>
              <a:effectLst/>
              <a:latin typeface="+mn-lt"/>
              <a:ea typeface="+mn-ea"/>
              <a:cs typeface="+mn-cs"/>
            </a:rPr>
            <a:t>例えば</a:t>
          </a:r>
        </a:p>
        <a:p>
          <a:pPr fontAlgn="t"/>
          <a:r>
            <a:rPr lang="en-US" altLang="ja-JP" sz="1100" b="0" i="0">
              <a:solidFill>
                <a:schemeClr val="dk1"/>
              </a:solidFill>
              <a:effectLst/>
              <a:latin typeface="+mn-lt"/>
              <a:ea typeface="+mn-ea"/>
              <a:cs typeface="+mn-cs"/>
            </a:rPr>
            <a:t>10 → 1 11 → 2 </a:t>
          </a:r>
          <a:r>
            <a:rPr lang="ja-JP" altLang="en-US" sz="1100" b="0" i="0">
              <a:solidFill>
                <a:schemeClr val="dk1"/>
              </a:solidFill>
              <a:effectLst/>
              <a:latin typeface="+mn-lt"/>
              <a:ea typeface="+mn-ea"/>
              <a:cs typeface="+mn-cs"/>
            </a:rPr>
            <a:t>のような部分和を作り、</a:t>
          </a:r>
          <a:r>
            <a:rPr lang="ja-JP" altLang="en-US" sz="1100" b="0" i="0">
              <a:solidFill>
                <a:srgbClr val="FF0000"/>
              </a:solidFill>
              <a:effectLst/>
              <a:latin typeface="+mn-lt"/>
              <a:ea typeface="+mn-ea"/>
              <a:cs typeface="+mn-cs"/>
            </a:rPr>
            <a:t>それらをさらに足し合わせて総数を求めます。</a:t>
          </a:r>
        </a:p>
        <a:p>
          <a:pPr fontAlgn="t"/>
          <a:r>
            <a:rPr lang="ja-JP" altLang="en-US" sz="1100" b="1" i="0">
              <a:solidFill>
                <a:schemeClr val="dk1"/>
              </a:solidFill>
              <a:effectLst/>
              <a:latin typeface="+mn-lt"/>
              <a:ea typeface="+mn-ea"/>
              <a:cs typeface="+mn-cs"/>
            </a:rPr>
            <a:t>特徴</a:t>
          </a:r>
        </a:p>
        <a:p>
          <a:pPr fontAlgn="t"/>
          <a:r>
            <a:rPr lang="ja-JP" altLang="en-US" sz="1100" b="0" i="0">
              <a:solidFill>
                <a:schemeClr val="dk1"/>
              </a:solidFill>
              <a:effectLst/>
              <a:latin typeface="+mn-lt"/>
              <a:ea typeface="+mn-ea"/>
              <a:cs typeface="+mn-cs"/>
            </a:rPr>
            <a:t>ループなし</a:t>
          </a:r>
        </a:p>
        <a:p>
          <a:pPr fontAlgn="t"/>
          <a:r>
            <a:rPr lang="ja-JP" altLang="en-US" sz="1100" b="0" i="0">
              <a:solidFill>
                <a:schemeClr val="dk1"/>
              </a:solidFill>
              <a:effectLst/>
              <a:latin typeface="+mn-lt"/>
              <a:ea typeface="+mn-ea"/>
              <a:cs typeface="+mn-cs"/>
            </a:rPr>
            <a:t>昔から有名な「</a:t>
          </a:r>
          <a:r>
            <a:rPr lang="en-US" altLang="ja-JP" sz="1100" b="0" i="0">
              <a:solidFill>
                <a:schemeClr val="dk1"/>
              </a:solidFill>
              <a:effectLst/>
              <a:latin typeface="+mn-lt"/>
              <a:ea typeface="+mn-ea"/>
              <a:cs typeface="+mn-cs"/>
            </a:rPr>
            <a:t>Hacker's Delight</a:t>
          </a:r>
          <a:r>
            <a:rPr lang="ja-JP" altLang="en-US" sz="1100" b="0" i="0">
              <a:solidFill>
                <a:schemeClr val="dk1"/>
              </a:solidFill>
              <a:effectLst/>
              <a:latin typeface="+mn-lt"/>
              <a:ea typeface="+mn-ea"/>
              <a:cs typeface="+mn-cs"/>
            </a:rPr>
            <a:t>系」の高速手法</a:t>
          </a:r>
        </a:p>
        <a:p>
          <a:pPr fontAlgn="t"/>
          <a:r>
            <a:rPr lang="ja-JP" altLang="en-US" sz="1100" b="0" i="0">
              <a:solidFill>
                <a:schemeClr val="dk1"/>
              </a:solidFill>
              <a:effectLst/>
              <a:latin typeface="+mn-lt"/>
              <a:ea typeface="+mn-ea"/>
              <a:cs typeface="+mn-cs"/>
            </a:rPr>
            <a:t>理解は少し難しい</a:t>
          </a:r>
        </a:p>
        <a:p>
          <a:endParaRPr kumimoji="1" lang="ja-JP" altLang="en-US" sz="1100"/>
        </a:p>
      </xdr:txBody>
    </xdr:sp>
    <xdr:clientData/>
  </xdr:twoCellAnchor>
  <xdr:twoCellAnchor>
    <xdr:from>
      <xdr:col>0</xdr:col>
      <xdr:colOff>0</xdr:colOff>
      <xdr:row>21</xdr:row>
      <xdr:rowOff>76200</xdr:rowOff>
    </xdr:from>
    <xdr:to>
      <xdr:col>10</xdr:col>
      <xdr:colOff>504825</xdr:colOff>
      <xdr:row>38</xdr:row>
      <xdr:rowOff>0</xdr:rowOff>
    </xdr:to>
    <xdr:sp macro="" textlink="">
      <xdr:nvSpPr>
        <xdr:cNvPr id="5" name="テキスト ボックス 4">
          <a:extLst>
            <a:ext uri="{FF2B5EF4-FFF2-40B4-BE49-F238E27FC236}">
              <a16:creationId xmlns:a16="http://schemas.microsoft.com/office/drawing/2014/main" id="{65AEB213-2A13-B65B-36D5-75DC35456315}"/>
            </a:ext>
          </a:extLst>
        </xdr:cNvPr>
        <xdr:cNvSpPr txBox="1"/>
      </xdr:nvSpPr>
      <xdr:spPr>
        <a:xfrm>
          <a:off x="0" y="4362450"/>
          <a:ext cx="7362825" cy="397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altLang="ja-JP" b="1"/>
            <a:t>【chatGPT】</a:t>
          </a:r>
          <a:r>
            <a:rPr lang="ja-JP" altLang="ja-JP" sz="1100" b="1" i="0">
              <a:solidFill>
                <a:schemeClr val="dk1"/>
              </a:solidFill>
              <a:effectLst/>
              <a:latin typeface="+mn-lt"/>
              <a:ea typeface="+mn-ea"/>
              <a:cs typeface="+mn-cs"/>
            </a:rPr>
            <a:t>評価・・・</a:t>
          </a:r>
          <a:r>
            <a:rPr lang="en-US" altLang="ja-JP" sz="1100" b="1" i="0">
              <a:solidFill>
                <a:schemeClr val="dk1"/>
              </a:solidFill>
              <a:effectLst/>
              <a:latin typeface="+mn-lt"/>
              <a:ea typeface="+mn-ea"/>
              <a:cs typeface="+mn-cs"/>
            </a:rPr>
            <a:t>40</a:t>
          </a:r>
          <a:r>
            <a:rPr lang="ja-JP" altLang="ja-JP" sz="1100" b="1" i="0">
              <a:solidFill>
                <a:schemeClr val="dk1"/>
              </a:solidFill>
              <a:effectLst/>
              <a:latin typeface="+mn-lt"/>
              <a:ea typeface="+mn-ea"/>
              <a:cs typeface="+mn-cs"/>
            </a:rPr>
            <a:t>点</a:t>
          </a:r>
          <a:endParaRPr lang="ja-JP" altLang="ja-JP">
            <a:effectLst/>
          </a:endParaRPr>
        </a:p>
        <a:p>
          <a:endParaRPr lang="ja-JP" altLang="en-US" b="1"/>
        </a:p>
        <a:p>
          <a:r>
            <a:rPr lang="en-US" altLang="ja-JP" b="1"/>
            <a:t>4. </a:t>
          </a:r>
          <a:r>
            <a:rPr lang="ja-JP" altLang="en-US" b="1"/>
            <a:t>解法</a:t>
          </a:r>
          <a:r>
            <a:rPr lang="en-US" altLang="ja-JP" b="1"/>
            <a:t>4</a:t>
          </a:r>
          <a:r>
            <a:rPr lang="ja-JP" altLang="en-US" b="1"/>
            <a:t>：ビットをまとめて数える特殊な計算</a:t>
          </a:r>
        </a:p>
        <a:p>
          <a:r>
            <a:rPr lang="ja-JP" altLang="en-US"/>
            <a:t>考え方： ビットを</a:t>
          </a:r>
          <a:r>
            <a:rPr lang="en-US" altLang="ja-JP"/>
            <a:t>1</a:t>
          </a:r>
          <a:r>
            <a:rPr lang="ja-JP" altLang="en-US"/>
            <a:t>個ずつ調べるのではなく、複数のビットをまとめて計算して個数を求めます。</a:t>
          </a:r>
        </a:p>
        <a:p>
          <a:r>
            <a:rPr lang="ja-JP" altLang="en-US"/>
            <a:t>この方法では、次の演算が重要です。</a:t>
          </a:r>
        </a:p>
        <a:p>
          <a:r>
            <a:rPr lang="en-US" altLang="ja-JP"/>
            <a:t>&gt;&gt; 1</a:t>
          </a:r>
          <a:r>
            <a:rPr lang="ja-JP" altLang="en-US"/>
            <a:t>：ビットを右に</a:t>
          </a:r>
          <a:r>
            <a:rPr lang="en-US" altLang="ja-JP"/>
            <a:t>1</a:t>
          </a:r>
          <a:r>
            <a:rPr lang="ja-JP" altLang="en-US"/>
            <a:t>つずらします。</a:t>
          </a:r>
        </a:p>
        <a:p>
          <a:r>
            <a:rPr lang="en-US" altLang="ja-JP"/>
            <a:t>&amp;</a:t>
          </a:r>
          <a:r>
            <a:rPr lang="ja-JP" altLang="en-US"/>
            <a:t>：特定のビットだけを取り出します。</a:t>
          </a:r>
        </a:p>
        <a:p>
          <a:r>
            <a:rPr lang="en-US" altLang="ja-JP"/>
            <a:t>-</a:t>
          </a:r>
          <a:r>
            <a:rPr lang="ja-JP" altLang="en-US"/>
            <a:t>：ビットの個数を求めるための差を計算します。</a:t>
          </a:r>
        </a:p>
        <a:p>
          <a:r>
            <a:rPr lang="en-US" altLang="ja-JP"/>
            <a:t>+</a:t>
          </a:r>
          <a:r>
            <a:rPr lang="ja-JP" altLang="en-US"/>
            <a:t>：部分的に数えた個数をまとめます。</a:t>
          </a:r>
        </a:p>
        <a:p>
          <a:r>
            <a:rPr lang="en-US" altLang="ja-JP"/>
            <a:t>% 077</a:t>
          </a:r>
          <a:r>
            <a:rPr lang="ja-JP" altLang="en-US"/>
            <a:t>：最後に余りを求めます。</a:t>
          </a:r>
        </a:p>
        <a:p>
          <a:r>
            <a:rPr lang="ja-JP" altLang="en-US"/>
            <a:t>ここにある </a:t>
          </a:r>
          <a:r>
            <a:rPr lang="en-US" altLang="ja-JP"/>
            <a:t>03333333333</a:t>
          </a:r>
          <a:r>
            <a:rPr lang="ja-JP" altLang="en-US"/>
            <a:t>、</a:t>
          </a:r>
          <a:r>
            <a:rPr lang="en-US" altLang="ja-JP"/>
            <a:t>0707070707</a:t>
          </a:r>
          <a:r>
            <a:rPr lang="ja-JP" altLang="en-US"/>
            <a:t>、</a:t>
          </a:r>
          <a:r>
            <a:rPr lang="en-US" altLang="ja-JP"/>
            <a:t>077 </a:t>
          </a:r>
          <a:r>
            <a:rPr lang="ja-JP" altLang="en-US"/>
            <a:t>は、先頭に </a:t>
          </a:r>
          <a:r>
            <a:rPr lang="en-US" altLang="ja-JP"/>
            <a:t>0 </a:t>
          </a:r>
          <a:r>
            <a:rPr lang="ja-JP" altLang="en-US"/>
            <a:t>が付いています。</a:t>
          </a:r>
        </a:p>
        <a:p>
          <a:r>
            <a:rPr lang="en-US" altLang="ja-JP"/>
            <a:t>C</a:t>
          </a:r>
          <a:r>
            <a:rPr lang="ja-JP" altLang="en-US"/>
            <a:t>言語では 先頭が </a:t>
          </a:r>
          <a:r>
            <a:rPr lang="en-US" altLang="ja-JP"/>
            <a:t>0 </a:t>
          </a:r>
          <a:r>
            <a:rPr lang="ja-JP" altLang="en-US"/>
            <a:t>の整数リテラルは</a:t>
          </a:r>
          <a:r>
            <a:rPr lang="en-US" altLang="ja-JP"/>
            <a:t>8</a:t>
          </a:r>
          <a:r>
            <a:rPr lang="ja-JP" altLang="en-US"/>
            <a:t>進数です。</a:t>
          </a:r>
        </a:p>
        <a:p>
          <a:r>
            <a:rPr lang="en-US" altLang="ja-JP"/>
            <a:t>10</a:t>
          </a:r>
          <a:r>
            <a:rPr lang="ja-JP" altLang="en-US"/>
            <a:t>進数として書かれているわけではありません。</a:t>
          </a:r>
        </a:p>
        <a:p>
          <a:r>
            <a:rPr lang="ja-JP" altLang="en-US"/>
            <a:t>特徴： 計算をまとめて行うため高速化を狙った方法ですが、定数の意味や各段階の計算を理解するには、</a:t>
          </a:r>
        </a:p>
        <a:p>
          <a:r>
            <a:rPr lang="ja-JP" altLang="en-US"/>
            <a:t>ビット演算の知識が必要です。また、整数の幅や符号によって動作に注意が必要です。</a:t>
          </a:r>
        </a:p>
        <a:p>
          <a:endParaRPr kumimoji="1" lang="ja-JP" altLang="en-US" sz="1100"/>
        </a:p>
      </xdr:txBody>
    </xdr:sp>
    <xdr:clientData/>
  </xdr:twoCellAnchor>
  <xdr:twoCellAnchor>
    <xdr:from>
      <xdr:col>17</xdr:col>
      <xdr:colOff>381000</xdr:colOff>
      <xdr:row>26</xdr:row>
      <xdr:rowOff>76200</xdr:rowOff>
    </xdr:from>
    <xdr:to>
      <xdr:col>22</xdr:col>
      <xdr:colOff>400050</xdr:colOff>
      <xdr:row>27</xdr:row>
      <xdr:rowOff>209550</xdr:rowOff>
    </xdr:to>
    <xdr:sp macro="" textlink="">
      <xdr:nvSpPr>
        <xdr:cNvPr id="7" name="テキスト ボックス 6">
          <a:extLst>
            <a:ext uri="{FF2B5EF4-FFF2-40B4-BE49-F238E27FC236}">
              <a16:creationId xmlns:a16="http://schemas.microsoft.com/office/drawing/2014/main" id="{BBFF9BF4-0951-E450-E841-C1B590C81465}"/>
            </a:ext>
          </a:extLst>
        </xdr:cNvPr>
        <xdr:cNvSpPr txBox="1"/>
      </xdr:nvSpPr>
      <xdr:spPr>
        <a:xfrm>
          <a:off x="12039600" y="5553075"/>
          <a:ext cx="3448050"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マスクについての説明がなく、分かりにくい</a:t>
          </a:r>
        </a:p>
      </xdr:txBody>
    </xdr:sp>
    <xdr:clientData/>
  </xdr:twoCellAnchor>
  <xdr:twoCellAnchor>
    <xdr:from>
      <xdr:col>18</xdr:col>
      <xdr:colOff>200025</xdr:colOff>
      <xdr:row>28</xdr:row>
      <xdr:rowOff>66675</xdr:rowOff>
    </xdr:from>
    <xdr:to>
      <xdr:col>22</xdr:col>
      <xdr:colOff>428625</xdr:colOff>
      <xdr:row>29</xdr:row>
      <xdr:rowOff>200025</xdr:rowOff>
    </xdr:to>
    <xdr:sp macro="" textlink="">
      <xdr:nvSpPr>
        <xdr:cNvPr id="8" name="テキスト ボックス 7">
          <a:extLst>
            <a:ext uri="{FF2B5EF4-FFF2-40B4-BE49-F238E27FC236}">
              <a16:creationId xmlns:a16="http://schemas.microsoft.com/office/drawing/2014/main" id="{D6F470DD-79FD-4CF6-93E5-12067419C7C3}"/>
            </a:ext>
          </a:extLst>
        </xdr:cNvPr>
        <xdr:cNvSpPr txBox="1"/>
      </xdr:nvSpPr>
      <xdr:spPr>
        <a:xfrm>
          <a:off x="12544425" y="6019800"/>
          <a:ext cx="2971800"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a:t>
          </a:r>
          <a:r>
            <a:rPr kumimoji="1" lang="ja-JP" altLang="en-US" sz="1100"/>
            <a:t>ビット</a:t>
          </a:r>
          <a:r>
            <a:rPr kumimoji="1" lang="en-US" altLang="ja-JP" sz="1100"/>
            <a:t>(64</a:t>
          </a:r>
          <a:r>
            <a:rPr kumimoji="1" lang="ja-JP" altLang="en-US" sz="1100"/>
            <a:t>進</a:t>
          </a:r>
          <a:r>
            <a:rPr kumimoji="1" lang="en-US" altLang="ja-JP" sz="1100"/>
            <a:t>)</a:t>
          </a:r>
          <a:r>
            <a:rPr kumimoji="1" lang="ja-JP" altLang="en-US" sz="1100"/>
            <a:t>の表現は誤り、</a:t>
          </a:r>
          <a:r>
            <a:rPr kumimoji="1" lang="en-US" altLang="ja-JP" sz="1100"/>
            <a:t>64</a:t>
          </a:r>
          <a:r>
            <a:rPr kumimoji="1" lang="ja-JP" altLang="en-US" sz="1100"/>
            <a:t>進数？</a:t>
          </a:r>
        </a:p>
      </xdr:txBody>
    </xdr:sp>
    <xdr:clientData/>
  </xdr:twoCellAnchor>
  <xdr:twoCellAnchor>
    <xdr:from>
      <xdr:col>13</xdr:col>
      <xdr:colOff>47625</xdr:colOff>
      <xdr:row>30</xdr:row>
      <xdr:rowOff>95250</xdr:rowOff>
    </xdr:from>
    <xdr:to>
      <xdr:col>17</xdr:col>
      <xdr:colOff>276225</xdr:colOff>
      <xdr:row>32</xdr:row>
      <xdr:rowOff>85725</xdr:rowOff>
    </xdr:to>
    <xdr:sp macro="" textlink="">
      <xdr:nvSpPr>
        <xdr:cNvPr id="9" name="テキスト ボックス 8">
          <a:extLst>
            <a:ext uri="{FF2B5EF4-FFF2-40B4-BE49-F238E27FC236}">
              <a16:creationId xmlns:a16="http://schemas.microsoft.com/office/drawing/2014/main" id="{6BF7CA3B-5EB5-4097-889A-DBAB3E1378E4}"/>
            </a:ext>
          </a:extLst>
        </xdr:cNvPr>
        <xdr:cNvSpPr txBox="1"/>
      </xdr:nvSpPr>
      <xdr:spPr>
        <a:xfrm>
          <a:off x="8963025" y="7239000"/>
          <a:ext cx="297180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「読みにくい」という否定的なコメント</a:t>
          </a:r>
        </a:p>
      </xdr:txBody>
    </xdr:sp>
    <xdr:clientData/>
  </xdr:twoCellAnchor>
  <xdr:twoCellAnchor>
    <xdr:from>
      <xdr:col>15</xdr:col>
      <xdr:colOff>95250</xdr:colOff>
      <xdr:row>9</xdr:row>
      <xdr:rowOff>190500</xdr:rowOff>
    </xdr:from>
    <xdr:to>
      <xdr:col>20</xdr:col>
      <xdr:colOff>114300</xdr:colOff>
      <xdr:row>11</xdr:row>
      <xdr:rowOff>85725</xdr:rowOff>
    </xdr:to>
    <xdr:sp macro="" textlink="">
      <xdr:nvSpPr>
        <xdr:cNvPr id="10" name="テキスト ボックス 9">
          <a:extLst>
            <a:ext uri="{FF2B5EF4-FFF2-40B4-BE49-F238E27FC236}">
              <a16:creationId xmlns:a16="http://schemas.microsoft.com/office/drawing/2014/main" id="{30C15379-CFDA-4C06-8B08-2043EF3C4EF8}"/>
            </a:ext>
          </a:extLst>
        </xdr:cNvPr>
        <xdr:cNvSpPr txBox="1"/>
      </xdr:nvSpPr>
      <xdr:spPr>
        <a:xfrm>
          <a:off x="10382250" y="1619250"/>
          <a:ext cx="3448050"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明らかに方法</a:t>
          </a:r>
          <a:r>
            <a:rPr kumimoji="1" lang="en-US" altLang="ja-JP" sz="1100"/>
            <a:t>5</a:t>
          </a:r>
          <a:r>
            <a:rPr kumimoji="1" lang="ja-JP" altLang="en-US" sz="1100"/>
            <a:t>と混同している</a:t>
          </a:r>
        </a:p>
      </xdr:txBody>
    </xdr:sp>
    <xdr:clientData/>
  </xdr:twoCellAnchor>
  <xdr:twoCellAnchor>
    <xdr:from>
      <xdr:col>6</xdr:col>
      <xdr:colOff>285750</xdr:colOff>
      <xdr:row>7</xdr:row>
      <xdr:rowOff>104776</xdr:rowOff>
    </xdr:from>
    <xdr:to>
      <xdr:col>10</xdr:col>
      <xdr:colOff>428625</xdr:colOff>
      <xdr:row>12</xdr:row>
      <xdr:rowOff>1</xdr:rowOff>
    </xdr:to>
    <xdr:sp macro="" textlink="">
      <xdr:nvSpPr>
        <xdr:cNvPr id="11" name="テキスト ボックス 10">
          <a:extLst>
            <a:ext uri="{FF2B5EF4-FFF2-40B4-BE49-F238E27FC236}">
              <a16:creationId xmlns:a16="http://schemas.microsoft.com/office/drawing/2014/main" id="{C1A2BE4A-6753-4C7E-A391-BB6B0C1149AE}"/>
            </a:ext>
          </a:extLst>
        </xdr:cNvPr>
        <xdr:cNvSpPr txBox="1"/>
      </xdr:nvSpPr>
      <xdr:spPr>
        <a:xfrm>
          <a:off x="4400550" y="1057276"/>
          <a:ext cx="2886075"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解法の元ネタについては詳しいが、</a:t>
          </a:r>
        </a:p>
        <a:p>
          <a:r>
            <a:rPr kumimoji="1" lang="en-US" altLang="ja-JP" sz="1100"/>
            <a:t>6</a:t>
          </a:r>
          <a:r>
            <a:rPr kumimoji="1" lang="ja-JP" altLang="en-US" sz="1100"/>
            <a:t>ビットにすること等</a:t>
          </a:r>
        </a:p>
        <a:p>
          <a:r>
            <a:rPr kumimoji="1" lang="ja-JP" altLang="en-US" sz="1100"/>
            <a:t>説明が不足気味</a:t>
          </a:r>
        </a:p>
        <a:p>
          <a:endParaRPr kumimoji="1" lang="ja-JP" altLang="en-US" sz="1100"/>
        </a:p>
      </xdr:txBody>
    </xdr:sp>
    <xdr:clientData/>
  </xdr:twoCellAnchor>
  <xdr:twoCellAnchor>
    <xdr:from>
      <xdr:col>5</xdr:col>
      <xdr:colOff>57150</xdr:colOff>
      <xdr:row>25</xdr:row>
      <xdr:rowOff>142875</xdr:rowOff>
    </xdr:from>
    <xdr:to>
      <xdr:col>9</xdr:col>
      <xdr:colOff>200025</xdr:colOff>
      <xdr:row>30</xdr:row>
      <xdr:rowOff>38100</xdr:rowOff>
    </xdr:to>
    <xdr:sp macro="" textlink="">
      <xdr:nvSpPr>
        <xdr:cNvPr id="12" name="テキスト ボックス 11">
          <a:extLst>
            <a:ext uri="{FF2B5EF4-FFF2-40B4-BE49-F238E27FC236}">
              <a16:creationId xmlns:a16="http://schemas.microsoft.com/office/drawing/2014/main" id="{7A44EF48-41FB-477D-BADE-7967FB2760EA}"/>
            </a:ext>
          </a:extLst>
        </xdr:cNvPr>
        <xdr:cNvSpPr txBox="1"/>
      </xdr:nvSpPr>
      <xdr:spPr>
        <a:xfrm>
          <a:off x="3486150" y="5381625"/>
          <a:ext cx="2886075"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間違ったことは言っていないし、</a:t>
          </a:r>
        </a:p>
        <a:p>
          <a:r>
            <a:rPr kumimoji="1" lang="ja-JP" altLang="en-US" sz="1100"/>
            <a:t>注意内容は正しいが、</a:t>
          </a:r>
        </a:p>
        <a:p>
          <a:r>
            <a:rPr kumimoji="1" lang="ja-JP" altLang="en-US" sz="1100"/>
            <a:t>肝心の解説が説明不足</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EDBF-D96A-4EEC-80E9-08D2FFECC2D7}">
  <dimension ref="A2:A22"/>
  <sheetViews>
    <sheetView workbookViewId="0">
      <selection activeCell="K21" sqref="K21"/>
    </sheetView>
  </sheetViews>
  <sheetFormatPr defaultRowHeight="18.75"/>
  <sheetData>
    <row r="2" spans="1:1">
      <c r="A2" s="5" t="s">
        <v>31</v>
      </c>
    </row>
    <row r="3" spans="1:1">
      <c r="A3" s="3"/>
    </row>
    <row r="4" spans="1:1">
      <c r="A4" s="3" t="s">
        <v>32</v>
      </c>
    </row>
    <row r="5" spans="1:1">
      <c r="A5" s="3"/>
    </row>
    <row r="6" spans="1:1">
      <c r="A6" s="3" t="s">
        <v>21</v>
      </c>
    </row>
    <row r="7" spans="1:1">
      <c r="A7" s="3" t="s">
        <v>22</v>
      </c>
    </row>
    <row r="8" spans="1:1">
      <c r="A8" s="3" t="s">
        <v>23</v>
      </c>
    </row>
    <row r="9" spans="1:1">
      <c r="A9" s="3"/>
    </row>
    <row r="10" spans="1:1">
      <c r="A10" s="3" t="s">
        <v>24</v>
      </c>
    </row>
    <row r="11" spans="1:1">
      <c r="A11" s="3" t="s">
        <v>34</v>
      </c>
    </row>
    <row r="12" spans="1:1">
      <c r="A12" s="3"/>
    </row>
    <row r="13" spans="1:1">
      <c r="A13" s="3" t="s">
        <v>33</v>
      </c>
    </row>
    <row r="14" spans="1:1">
      <c r="A14" s="3" t="s">
        <v>25</v>
      </c>
    </row>
    <row r="15" spans="1:1">
      <c r="A15" s="3"/>
    </row>
    <row r="16" spans="1:1">
      <c r="A16" s="3" t="s">
        <v>26</v>
      </c>
    </row>
    <row r="17" spans="1:1">
      <c r="A17" s="3" t="s">
        <v>27</v>
      </c>
    </row>
    <row r="18" spans="1:1">
      <c r="A18" s="3" t="s">
        <v>28</v>
      </c>
    </row>
    <row r="19" spans="1:1">
      <c r="A19" s="3"/>
    </row>
    <row r="20" spans="1:1">
      <c r="A20" s="3" t="s">
        <v>29</v>
      </c>
    </row>
    <row r="21" spans="1:1">
      <c r="A21" s="3" t="s">
        <v>30</v>
      </c>
    </row>
    <row r="22" spans="1:1">
      <c r="A22" s="3" t="s">
        <v>35</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95A5F-7663-4B09-B16B-0AC47B118855}">
  <dimension ref="A3:F15"/>
  <sheetViews>
    <sheetView workbookViewId="0">
      <selection activeCell="F22" sqref="F22"/>
    </sheetView>
  </sheetViews>
  <sheetFormatPr defaultRowHeight="18.75"/>
  <cols>
    <col min="1" max="1" width="10.75" customWidth="1"/>
  </cols>
  <sheetData>
    <row r="3" spans="1:6">
      <c r="A3" s="8" t="s">
        <v>56</v>
      </c>
    </row>
    <row r="5" spans="1:6">
      <c r="F5" t="s">
        <v>57</v>
      </c>
    </row>
    <row r="6" spans="1:6" ht="19.5">
      <c r="F6" s="10" t="s">
        <v>58</v>
      </c>
    </row>
    <row r="7" spans="1:6">
      <c r="F7" t="s">
        <v>59</v>
      </c>
    </row>
    <row r="8" spans="1:6">
      <c r="F8" t="s">
        <v>108</v>
      </c>
    </row>
    <row r="15" spans="1:6">
      <c r="A15" s="9"/>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E23BD-CC9A-4C68-AC94-0A739197F41E}">
  <dimension ref="A3:J10"/>
  <sheetViews>
    <sheetView workbookViewId="0">
      <selection activeCell="L14" sqref="L14"/>
    </sheetView>
  </sheetViews>
  <sheetFormatPr defaultRowHeight="18.75"/>
  <sheetData>
    <row r="3" spans="1:10">
      <c r="A3" s="11" t="s">
        <v>199</v>
      </c>
    </row>
    <row r="4" spans="1:10">
      <c r="J4" t="s">
        <v>62</v>
      </c>
    </row>
    <row r="5" spans="1:10">
      <c r="J5" t="s">
        <v>61</v>
      </c>
    </row>
    <row r="6" spans="1:10">
      <c r="J6" t="s">
        <v>63</v>
      </c>
    </row>
    <row r="7" spans="1:10">
      <c r="J7" t="s">
        <v>64</v>
      </c>
    </row>
    <row r="8" spans="1:10">
      <c r="J8" t="s">
        <v>65</v>
      </c>
    </row>
    <row r="9" spans="1:10">
      <c r="J9" t="s">
        <v>109</v>
      </c>
    </row>
    <row r="10" spans="1:10">
      <c r="J10" t="s">
        <v>66</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5231-C07A-43D8-B1B7-F0C678E17E5E}">
  <dimension ref="A3:F10"/>
  <sheetViews>
    <sheetView workbookViewId="0">
      <selection activeCell="L21" sqref="L21"/>
    </sheetView>
  </sheetViews>
  <sheetFormatPr defaultRowHeight="18.75"/>
  <sheetData>
    <row r="3" spans="1:6">
      <c r="A3" s="8" t="s">
        <v>198</v>
      </c>
      <c r="F3" t="s">
        <v>68</v>
      </c>
    </row>
    <row r="4" spans="1:6">
      <c r="F4" t="s">
        <v>69</v>
      </c>
    </row>
    <row r="5" spans="1:6">
      <c r="F5" t="s">
        <v>70</v>
      </c>
    </row>
    <row r="6" spans="1:6">
      <c r="F6" t="s">
        <v>67</v>
      </c>
    </row>
    <row r="8" spans="1:6">
      <c r="F8" t="s">
        <v>71</v>
      </c>
    </row>
    <row r="9" spans="1:6">
      <c r="F9" t="s">
        <v>73</v>
      </c>
    </row>
    <row r="10" spans="1:6">
      <c r="F10" t="s">
        <v>72</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88A2-72EB-4DD1-9F80-787E4169999C}">
  <dimension ref="A3:P20"/>
  <sheetViews>
    <sheetView workbookViewId="0">
      <selection activeCell="J23" sqref="J23"/>
    </sheetView>
  </sheetViews>
  <sheetFormatPr defaultRowHeight="18.75"/>
  <cols>
    <col min="2" max="2" width="10.5" bestFit="1" customWidth="1"/>
  </cols>
  <sheetData>
    <row r="3" spans="1:16">
      <c r="A3" s="12" t="s">
        <v>76</v>
      </c>
    </row>
    <row r="4" spans="1:16">
      <c r="I4" t="s">
        <v>68</v>
      </c>
    </row>
    <row r="5" spans="1:16">
      <c r="I5" t="s">
        <v>77</v>
      </c>
    </row>
    <row r="6" spans="1:16">
      <c r="I6" t="s">
        <v>79</v>
      </c>
    </row>
    <row r="7" spans="1:16">
      <c r="I7" t="s">
        <v>80</v>
      </c>
      <c r="O7" t="s">
        <v>82</v>
      </c>
    </row>
    <row r="8" spans="1:16">
      <c r="I8" t="s">
        <v>81</v>
      </c>
    </row>
    <row r="9" spans="1:16">
      <c r="I9" t="s">
        <v>83</v>
      </c>
    </row>
    <row r="10" spans="1:16">
      <c r="I10" t="s">
        <v>90</v>
      </c>
      <c r="J10" s="1" t="s">
        <v>84</v>
      </c>
      <c r="K10" s="1" t="s">
        <v>85</v>
      </c>
      <c r="L10" s="1" t="s">
        <v>86</v>
      </c>
      <c r="M10" s="1" t="s">
        <v>87</v>
      </c>
      <c r="N10" s="1" t="s">
        <v>88</v>
      </c>
      <c r="O10" s="1" t="s">
        <v>89</v>
      </c>
      <c r="P10" t="s">
        <v>91</v>
      </c>
    </row>
    <row r="11" spans="1:16">
      <c r="I11" t="s">
        <v>92</v>
      </c>
      <c r="K11" s="1" t="s">
        <v>84</v>
      </c>
      <c r="L11" s="1" t="s">
        <v>85</v>
      </c>
      <c r="M11" s="1" t="s">
        <v>86</v>
      </c>
      <c r="N11" s="1" t="s">
        <v>87</v>
      </c>
      <c r="O11" s="1" t="s">
        <v>88</v>
      </c>
      <c r="P11" s="14" t="s">
        <v>97</v>
      </c>
    </row>
    <row r="12" spans="1:16" ht="19.5" thickBot="1">
      <c r="I12" t="s">
        <v>93</v>
      </c>
    </row>
    <row r="13" spans="1:16" ht="19.5" thickBot="1">
      <c r="J13" s="17" t="s">
        <v>94</v>
      </c>
      <c r="K13" s="18"/>
      <c r="L13" s="17" t="s">
        <v>95</v>
      </c>
      <c r="M13" s="18"/>
      <c r="N13" s="17" t="s">
        <v>96</v>
      </c>
      <c r="O13" s="18"/>
      <c r="P13" t="s">
        <v>98</v>
      </c>
    </row>
    <row r="14" spans="1:16">
      <c r="I14" t="s">
        <v>99</v>
      </c>
    </row>
    <row r="15" spans="1:16">
      <c r="B15" s="13" t="s">
        <v>78</v>
      </c>
      <c r="I15" t="s">
        <v>100</v>
      </c>
    </row>
    <row r="16" spans="1:16">
      <c r="I16" t="s">
        <v>200</v>
      </c>
    </row>
    <row r="17" spans="9:9">
      <c r="I17" t="s">
        <v>201</v>
      </c>
    </row>
    <row r="18" spans="9:9">
      <c r="I18" t="s">
        <v>101</v>
      </c>
    </row>
    <row r="19" spans="9:9">
      <c r="I19" t="s">
        <v>202</v>
      </c>
    </row>
    <row r="20" spans="9:9">
      <c r="I20" t="s">
        <v>218</v>
      </c>
    </row>
  </sheetData>
  <mergeCells count="3">
    <mergeCell ref="J13:K13"/>
    <mergeCell ref="L13:M13"/>
    <mergeCell ref="N13:O13"/>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B9E7-1246-4F8F-8D8C-50EB9F5D9333}">
  <dimension ref="A3:H13"/>
  <sheetViews>
    <sheetView workbookViewId="0">
      <selection activeCell="I21" sqref="I21"/>
    </sheetView>
  </sheetViews>
  <sheetFormatPr defaultRowHeight="18.75"/>
  <sheetData>
    <row r="3" spans="1:8">
      <c r="A3" s="8" t="s">
        <v>197</v>
      </c>
    </row>
    <row r="4" spans="1:8">
      <c r="H4" t="s">
        <v>68</v>
      </c>
    </row>
    <row r="5" spans="1:8">
      <c r="H5" t="s">
        <v>106</v>
      </c>
    </row>
    <row r="6" spans="1:8">
      <c r="H6" t="s">
        <v>102</v>
      </c>
    </row>
    <row r="7" spans="1:8">
      <c r="H7" t="s">
        <v>103</v>
      </c>
    </row>
    <row r="8" spans="1:8">
      <c r="H8" t="s">
        <v>104</v>
      </c>
    </row>
    <row r="9" spans="1:8">
      <c r="H9" t="s">
        <v>203</v>
      </c>
    </row>
    <row r="11" spans="1:8">
      <c r="H11" t="s">
        <v>204</v>
      </c>
    </row>
    <row r="12" spans="1:8">
      <c r="H12" t="s">
        <v>105</v>
      </c>
    </row>
    <row r="13" spans="1:8">
      <c r="H13" t="s">
        <v>107</v>
      </c>
    </row>
  </sheetData>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98B5-2B38-4D99-9BE4-F5915ADA9AFC}">
  <dimension ref="B2:F31"/>
  <sheetViews>
    <sheetView topLeftCell="A7" workbookViewId="0">
      <selection activeCell="B17" sqref="B17"/>
    </sheetView>
  </sheetViews>
  <sheetFormatPr defaultRowHeight="18.75"/>
  <cols>
    <col min="1" max="1" width="4.5" customWidth="1"/>
    <col min="2" max="2" width="30.25" bestFit="1" customWidth="1"/>
    <col min="3" max="3" width="15.125" bestFit="1" customWidth="1"/>
    <col min="4" max="4" width="11.75" bestFit="1" customWidth="1"/>
    <col min="5" max="5" width="77.625" bestFit="1" customWidth="1"/>
    <col min="6" max="6" width="87.25" bestFit="1" customWidth="1"/>
  </cols>
  <sheetData>
    <row r="2" spans="2:6">
      <c r="B2" s="12" t="s">
        <v>55</v>
      </c>
    </row>
    <row r="3" spans="2:6">
      <c r="B3" t="s">
        <v>220</v>
      </c>
    </row>
    <row r="4" spans="2:6">
      <c r="B4" t="s">
        <v>60</v>
      </c>
    </row>
    <row r="5" spans="2:6">
      <c r="B5" t="s">
        <v>225</v>
      </c>
    </row>
    <row r="7" spans="2:6">
      <c r="B7" s="2" t="s">
        <v>0</v>
      </c>
      <c r="C7" s="2" t="s">
        <v>1</v>
      </c>
      <c r="D7" s="2" t="s">
        <v>2</v>
      </c>
      <c r="E7" s="2" t="s">
        <v>3</v>
      </c>
      <c r="F7" s="2" t="s">
        <v>4</v>
      </c>
    </row>
    <row r="8" spans="2:6">
      <c r="B8" s="1" t="s">
        <v>5</v>
      </c>
      <c r="C8" s="1">
        <v>9.4060000000000006</v>
      </c>
      <c r="D8" s="1" t="s">
        <v>6</v>
      </c>
      <c r="E8" s="1" t="s">
        <v>7</v>
      </c>
      <c r="F8" s="1" t="s">
        <v>8</v>
      </c>
    </row>
    <row r="9" spans="2:6">
      <c r="B9" s="1" t="s">
        <v>11</v>
      </c>
      <c r="C9" s="1">
        <v>0.68200000000000005</v>
      </c>
      <c r="D9" s="1" t="s">
        <v>223</v>
      </c>
      <c r="E9" s="1" t="s">
        <v>12</v>
      </c>
      <c r="F9" s="1" t="s">
        <v>13</v>
      </c>
    </row>
    <row r="10" spans="2:6">
      <c r="B10" s="1" t="s">
        <v>9</v>
      </c>
      <c r="C10" s="1">
        <v>2.5089999999999999</v>
      </c>
      <c r="D10" s="1" t="s">
        <v>224</v>
      </c>
      <c r="E10" s="1" t="s">
        <v>17</v>
      </c>
      <c r="F10" s="1" t="s">
        <v>10</v>
      </c>
    </row>
    <row r="11" spans="2:6">
      <c r="B11" s="1" t="s">
        <v>75</v>
      </c>
      <c r="C11" s="1">
        <v>0.44900000000000001</v>
      </c>
      <c r="D11" s="1" t="s">
        <v>221</v>
      </c>
      <c r="E11" s="1" t="s">
        <v>18</v>
      </c>
      <c r="F11" s="1" t="s">
        <v>74</v>
      </c>
    </row>
    <row r="12" spans="2:6">
      <c r="B12" s="1" t="s">
        <v>205</v>
      </c>
      <c r="C12" s="1">
        <v>0.45</v>
      </c>
      <c r="D12" s="1" t="s">
        <v>221</v>
      </c>
      <c r="E12" s="1" t="s">
        <v>19</v>
      </c>
      <c r="F12" s="1" t="s">
        <v>20</v>
      </c>
    </row>
    <row r="13" spans="2:6">
      <c r="B13" s="1" t="s">
        <v>14</v>
      </c>
      <c r="C13" s="1">
        <v>0.313</v>
      </c>
      <c r="D13" s="1" t="s">
        <v>222</v>
      </c>
      <c r="E13" s="1" t="s">
        <v>15</v>
      </c>
      <c r="F13" s="1" t="s">
        <v>16</v>
      </c>
    </row>
    <row r="15" spans="2:6">
      <c r="B15" s="12" t="s">
        <v>110</v>
      </c>
    </row>
    <row r="17" spans="2:2">
      <c r="B17" s="12" t="s">
        <v>263</v>
      </c>
    </row>
    <row r="18" spans="2:2">
      <c r="B18" t="s">
        <v>119</v>
      </c>
    </row>
    <row r="19" spans="2:2">
      <c r="B19" t="s">
        <v>120</v>
      </c>
    </row>
    <row r="20" spans="2:2">
      <c r="B20" t="s">
        <v>111</v>
      </c>
    </row>
    <row r="21" spans="2:2">
      <c r="B21" t="s">
        <v>112</v>
      </c>
    </row>
    <row r="23" spans="2:2">
      <c r="B23" s="12" t="s">
        <v>113</v>
      </c>
    </row>
    <row r="24" spans="2:2">
      <c r="B24" t="s">
        <v>114</v>
      </c>
    </row>
    <row r="25" spans="2:2">
      <c r="B25" t="s">
        <v>115</v>
      </c>
    </row>
    <row r="26" spans="2:2">
      <c r="B26" t="s">
        <v>116</v>
      </c>
    </row>
    <row r="27" spans="2:2">
      <c r="B27" t="s">
        <v>121</v>
      </c>
    </row>
    <row r="28" spans="2:2">
      <c r="B28" t="s">
        <v>122</v>
      </c>
    </row>
    <row r="29" spans="2:2">
      <c r="B29" t="s">
        <v>117</v>
      </c>
    </row>
    <row r="30" spans="2:2">
      <c r="B30" t="s">
        <v>123</v>
      </c>
    </row>
    <row r="31" spans="2:2">
      <c r="B31" t="s">
        <v>118</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6AE33-ADCE-498E-B3F4-16DB3E394204}">
  <dimension ref="B2:I32"/>
  <sheetViews>
    <sheetView tabSelected="1" workbookViewId="0">
      <selection activeCell="L20" sqref="L20"/>
    </sheetView>
  </sheetViews>
  <sheetFormatPr defaultRowHeight="18.75"/>
  <cols>
    <col min="1" max="1" width="4.5" customWidth="1"/>
    <col min="2" max="2" width="30.25" bestFit="1" customWidth="1"/>
    <col min="3" max="5" width="14.375" bestFit="1" customWidth="1"/>
    <col min="6" max="6" width="11.375" bestFit="1" customWidth="1"/>
    <col min="7" max="7" width="15.5" bestFit="1" customWidth="1"/>
    <col min="8" max="8" width="14.75" bestFit="1" customWidth="1"/>
    <col min="9" max="9" width="13.375" bestFit="1" customWidth="1"/>
  </cols>
  <sheetData>
    <row r="2" spans="2:9">
      <c r="B2" s="12" t="s">
        <v>226</v>
      </c>
    </row>
    <row r="3" spans="2:9">
      <c r="B3" t="s">
        <v>227</v>
      </c>
    </row>
    <row r="4" spans="2:9">
      <c r="B4" t="s">
        <v>252</v>
      </c>
    </row>
    <row r="5" spans="2:9">
      <c r="B5" t="s">
        <v>253</v>
      </c>
    </row>
    <row r="7" spans="2:9">
      <c r="B7" s="2" t="s">
        <v>228</v>
      </c>
      <c r="C7" s="2" t="s">
        <v>229</v>
      </c>
      <c r="D7" s="2" t="s">
        <v>230</v>
      </c>
      <c r="E7" s="2" t="s">
        <v>250</v>
      </c>
      <c r="F7" s="2" t="s">
        <v>238</v>
      </c>
      <c r="G7" s="2" t="s">
        <v>239</v>
      </c>
      <c r="H7" s="2" t="s">
        <v>254</v>
      </c>
      <c r="I7" s="2" t="s">
        <v>255</v>
      </c>
    </row>
    <row r="8" spans="2:9">
      <c r="B8" s="1" t="s">
        <v>246</v>
      </c>
      <c r="C8" s="1">
        <v>9.4060000000000006</v>
      </c>
      <c r="D8" s="1">
        <v>1.7529999999999999</v>
      </c>
      <c r="E8" s="19" t="s">
        <v>231</v>
      </c>
      <c r="F8" s="1" t="s">
        <v>237</v>
      </c>
      <c r="G8" s="1" t="s">
        <v>237</v>
      </c>
      <c r="H8" s="24">
        <v>21.920999999999999</v>
      </c>
      <c r="I8" s="24">
        <v>39.664000000000001</v>
      </c>
    </row>
    <row r="9" spans="2:9">
      <c r="B9" s="1" t="s">
        <v>11</v>
      </c>
      <c r="C9" s="1">
        <v>0.68200000000000005</v>
      </c>
      <c r="D9" s="1">
        <v>9.1999999999999998E-2</v>
      </c>
      <c r="E9" s="19" t="s">
        <v>232</v>
      </c>
      <c r="F9" s="1" t="s">
        <v>237</v>
      </c>
      <c r="G9" s="1" t="s">
        <v>237</v>
      </c>
      <c r="H9" s="25">
        <v>8.7050000000000001</v>
      </c>
      <c r="I9" s="25">
        <v>17.035</v>
      </c>
    </row>
    <row r="10" spans="2:9">
      <c r="B10" s="1" t="s">
        <v>241</v>
      </c>
      <c r="C10" s="1">
        <v>2.5089999999999999</v>
      </c>
      <c r="D10" s="21">
        <v>7.2999999999999995E-2</v>
      </c>
      <c r="E10" s="22" t="s">
        <v>233</v>
      </c>
      <c r="F10" s="20">
        <v>0.92100000000000004</v>
      </c>
      <c r="G10" s="20" t="s">
        <v>245</v>
      </c>
      <c r="H10" s="25">
        <v>13.923999999999999</v>
      </c>
      <c r="I10" s="25">
        <v>22.550999999999998</v>
      </c>
    </row>
    <row r="11" spans="2:9">
      <c r="B11" s="1" t="s">
        <v>75</v>
      </c>
      <c r="C11" s="1">
        <v>0.44900000000000001</v>
      </c>
      <c r="D11" s="1">
        <v>0.19800000000000001</v>
      </c>
      <c r="E11" s="19" t="s">
        <v>234</v>
      </c>
      <c r="F11" s="1" t="s">
        <v>237</v>
      </c>
      <c r="G11" s="1" t="s">
        <v>237</v>
      </c>
      <c r="H11" s="25">
        <v>8.6920000000000002</v>
      </c>
      <c r="I11" s="25">
        <v>13.584</v>
      </c>
    </row>
    <row r="12" spans="2:9">
      <c r="B12" s="1" t="s">
        <v>205</v>
      </c>
      <c r="C12" s="1">
        <v>0.45</v>
      </c>
      <c r="D12" s="1">
        <v>0.191</v>
      </c>
      <c r="E12" s="19" t="s">
        <v>235</v>
      </c>
      <c r="F12" s="1" t="s">
        <v>237</v>
      </c>
      <c r="G12" s="1" t="s">
        <v>237</v>
      </c>
      <c r="H12" s="25">
        <v>8.7040000000000006</v>
      </c>
      <c r="I12" s="25">
        <v>15.981</v>
      </c>
    </row>
    <row r="13" spans="2:9">
      <c r="B13" s="1" t="s">
        <v>14</v>
      </c>
      <c r="C13" s="1">
        <v>0.313</v>
      </c>
      <c r="D13" s="1">
        <v>7.1999999999999995E-2</v>
      </c>
      <c r="E13" s="19" t="s">
        <v>236</v>
      </c>
      <c r="F13" s="1" t="s">
        <v>237</v>
      </c>
      <c r="G13" s="1" t="s">
        <v>237</v>
      </c>
      <c r="H13" s="25">
        <v>8.6910000000000007</v>
      </c>
      <c r="I13" s="25">
        <v>16.173999999999999</v>
      </c>
    </row>
    <row r="15" spans="2:9">
      <c r="B15" s="12" t="s">
        <v>262</v>
      </c>
    </row>
    <row r="16" spans="2:9">
      <c r="B16" t="s">
        <v>240</v>
      </c>
    </row>
    <row r="17" spans="2:2">
      <c r="B17" s="15" t="s">
        <v>243</v>
      </c>
    </row>
    <row r="18" spans="2:2">
      <c r="B18" s="23" t="s">
        <v>247</v>
      </c>
    </row>
    <row r="19" spans="2:2">
      <c r="B19" s="23" t="s">
        <v>242</v>
      </c>
    </row>
    <row r="20" spans="2:2">
      <c r="B20" s="23" t="s">
        <v>248</v>
      </c>
    </row>
    <row r="21" spans="2:2">
      <c r="B21" s="23" t="s">
        <v>244</v>
      </c>
    </row>
    <row r="22" spans="2:2">
      <c r="B22" s="23" t="s">
        <v>251</v>
      </c>
    </row>
    <row r="23" spans="2:2">
      <c r="B23" s="23" t="s">
        <v>249</v>
      </c>
    </row>
    <row r="24" spans="2:2">
      <c r="B24" s="23" t="s">
        <v>257</v>
      </c>
    </row>
    <row r="25" spans="2:2">
      <c r="B25" s="15" t="s">
        <v>256</v>
      </c>
    </row>
    <row r="26" spans="2:2">
      <c r="B26" s="15" t="s">
        <v>258</v>
      </c>
    </row>
    <row r="27" spans="2:2">
      <c r="B27" s="15" t="s">
        <v>259</v>
      </c>
    </row>
    <row r="28" spans="2:2">
      <c r="B28" s="15" t="s">
        <v>260</v>
      </c>
    </row>
    <row r="29" spans="2:2">
      <c r="B29" s="15" t="s">
        <v>261</v>
      </c>
    </row>
    <row r="31" spans="2:2">
      <c r="B31" t="s">
        <v>264</v>
      </c>
    </row>
    <row r="32" spans="2:2">
      <c r="B32" t="s">
        <v>265</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9246-A155-4A1B-856A-95F9E049863F}">
  <dimension ref="A1:Q41"/>
  <sheetViews>
    <sheetView workbookViewId="0">
      <selection activeCell="H30" sqref="H30"/>
    </sheetView>
  </sheetViews>
  <sheetFormatPr defaultRowHeight="18.75"/>
  <sheetData>
    <row r="1" spans="1:1">
      <c r="A1" s="16" t="s">
        <v>145</v>
      </c>
    </row>
    <row r="2" spans="1:1">
      <c r="A2" s="12" t="s">
        <v>146</v>
      </c>
    </row>
    <row r="4" spans="1:1">
      <c r="A4" t="s">
        <v>147</v>
      </c>
    </row>
    <row r="5" spans="1:1">
      <c r="A5" t="s">
        <v>149</v>
      </c>
    </row>
    <row r="6" spans="1:1">
      <c r="A6" t="s">
        <v>150</v>
      </c>
    </row>
    <row r="7" spans="1:1">
      <c r="A7" t="s">
        <v>148</v>
      </c>
    </row>
    <row r="9" spans="1:1">
      <c r="A9" s="15" t="s">
        <v>156</v>
      </c>
    </row>
    <row r="10" spans="1:1">
      <c r="A10" t="s">
        <v>159</v>
      </c>
    </row>
    <row r="11" spans="1:1">
      <c r="A11" t="s">
        <v>151</v>
      </c>
    </row>
    <row r="12" spans="1:1">
      <c r="A12" t="s">
        <v>152</v>
      </c>
    </row>
    <row r="14" spans="1:1">
      <c r="A14" t="s">
        <v>154</v>
      </c>
    </row>
    <row r="15" spans="1:1">
      <c r="A15" t="s">
        <v>153</v>
      </c>
    </row>
    <row r="16" spans="1:1">
      <c r="A16" t="s">
        <v>155</v>
      </c>
    </row>
    <row r="18" spans="1:17">
      <c r="A18" t="s">
        <v>158</v>
      </c>
    </row>
    <row r="19" spans="1:17">
      <c r="A19" t="s">
        <v>157</v>
      </c>
    </row>
    <row r="20" spans="1:17">
      <c r="A20" t="s">
        <v>160</v>
      </c>
    </row>
    <row r="22" spans="1:17">
      <c r="A22" t="s">
        <v>176</v>
      </c>
    </row>
    <row r="23" spans="1:17">
      <c r="A23" t="s">
        <v>161</v>
      </c>
      <c r="M23" t="s">
        <v>175</v>
      </c>
      <c r="N23" t="s">
        <v>172</v>
      </c>
      <c r="O23" t="s">
        <v>173</v>
      </c>
      <c r="P23" t="s">
        <v>171</v>
      </c>
      <c r="Q23" t="s">
        <v>174</v>
      </c>
    </row>
    <row r="24" spans="1:17">
      <c r="A24" t="s">
        <v>162</v>
      </c>
      <c r="M24">
        <v>1</v>
      </c>
      <c r="N24">
        <f>M24*10</f>
        <v>10</v>
      </c>
      <c r="O24">
        <f>M24*2</f>
        <v>2</v>
      </c>
      <c r="P24">
        <f>M24</f>
        <v>1</v>
      </c>
      <c r="Q24">
        <f>20*LOG(M24)+10</f>
        <v>10</v>
      </c>
    </row>
    <row r="25" spans="1:17">
      <c r="A25" t="s">
        <v>163</v>
      </c>
      <c r="D25" s="4" t="s">
        <v>206</v>
      </c>
      <c r="M25">
        <v>10</v>
      </c>
      <c r="N25">
        <f t="shared" ref="N25:N28" si="0">M25*10</f>
        <v>100</v>
      </c>
      <c r="O25">
        <f t="shared" ref="O25:O28" si="1">M25*2</f>
        <v>20</v>
      </c>
      <c r="P25">
        <f t="shared" ref="P25:P28" si="2">M25</f>
        <v>10</v>
      </c>
      <c r="Q25">
        <f t="shared" ref="Q25:Q28" si="3">20*LOG(M25)+10</f>
        <v>30</v>
      </c>
    </row>
    <row r="26" spans="1:17">
      <c r="A26" t="s">
        <v>168</v>
      </c>
      <c r="D26" s="4" t="s">
        <v>207</v>
      </c>
      <c r="M26">
        <v>100</v>
      </c>
      <c r="N26">
        <f t="shared" si="0"/>
        <v>1000</v>
      </c>
      <c r="O26">
        <f t="shared" si="1"/>
        <v>200</v>
      </c>
      <c r="P26">
        <f t="shared" si="2"/>
        <v>100</v>
      </c>
      <c r="Q26">
        <f t="shared" si="3"/>
        <v>50</v>
      </c>
    </row>
    <row r="27" spans="1:17">
      <c r="A27" t="s">
        <v>164</v>
      </c>
      <c r="D27" t="s">
        <v>208</v>
      </c>
      <c r="M27">
        <v>1000</v>
      </c>
      <c r="N27">
        <f t="shared" si="0"/>
        <v>10000</v>
      </c>
      <c r="O27">
        <f t="shared" si="1"/>
        <v>2000</v>
      </c>
      <c r="P27">
        <f t="shared" si="2"/>
        <v>1000</v>
      </c>
      <c r="Q27">
        <f t="shared" si="3"/>
        <v>70</v>
      </c>
    </row>
    <row r="28" spans="1:17">
      <c r="A28" t="s">
        <v>165</v>
      </c>
      <c r="M28">
        <v>10000</v>
      </c>
      <c r="N28">
        <f t="shared" si="0"/>
        <v>100000</v>
      </c>
      <c r="O28">
        <f t="shared" si="1"/>
        <v>20000</v>
      </c>
      <c r="P28">
        <f t="shared" si="2"/>
        <v>10000</v>
      </c>
      <c r="Q28">
        <f t="shared" si="3"/>
        <v>90</v>
      </c>
    </row>
    <row r="29" spans="1:17">
      <c r="A29" t="s">
        <v>166</v>
      </c>
    </row>
    <row r="30" spans="1:17">
      <c r="A30" t="s">
        <v>167</v>
      </c>
    </row>
    <row r="31" spans="1:17">
      <c r="A31" t="s">
        <v>169</v>
      </c>
    </row>
    <row r="32" spans="1:17">
      <c r="A32" t="s">
        <v>170</v>
      </c>
    </row>
    <row r="33" spans="1:1">
      <c r="A33" t="s">
        <v>177</v>
      </c>
    </row>
    <row r="34" spans="1:1">
      <c r="A34" t="s">
        <v>178</v>
      </c>
    </row>
    <row r="36" spans="1:1">
      <c r="A36" t="s">
        <v>179</v>
      </c>
    </row>
    <row r="37" spans="1:1">
      <c r="A37" t="s">
        <v>180</v>
      </c>
    </row>
    <row r="38" spans="1:1">
      <c r="A38" t="s">
        <v>181</v>
      </c>
    </row>
    <row r="39" spans="1:1">
      <c r="A39" t="s">
        <v>182</v>
      </c>
    </row>
    <row r="40" spans="1:1">
      <c r="A40" t="s">
        <v>184</v>
      </c>
    </row>
    <row r="41" spans="1:1">
      <c r="A41" t="s">
        <v>183</v>
      </c>
    </row>
  </sheetData>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F2DE-57FC-4DB4-A84A-A9E649FFD8DD}">
  <dimension ref="A1:P55"/>
  <sheetViews>
    <sheetView workbookViewId="0">
      <selection activeCell="O36" sqref="O36"/>
    </sheetView>
  </sheetViews>
  <sheetFormatPr defaultRowHeight="18.75"/>
  <sheetData>
    <row r="1" spans="1:1">
      <c r="A1" t="s">
        <v>128</v>
      </c>
    </row>
    <row r="2" spans="1:1">
      <c r="A2" t="s">
        <v>124</v>
      </c>
    </row>
    <row r="3" spans="1:1">
      <c r="A3" t="s">
        <v>209</v>
      </c>
    </row>
    <row r="4" spans="1:1">
      <c r="A4" t="s">
        <v>210</v>
      </c>
    </row>
    <row r="5" spans="1:1">
      <c r="A5" t="s">
        <v>211</v>
      </c>
    </row>
    <row r="6" spans="1:1">
      <c r="A6" t="s">
        <v>126</v>
      </c>
    </row>
    <row r="40" spans="1:16">
      <c r="A40" t="s">
        <v>129</v>
      </c>
      <c r="P40" t="s">
        <v>138</v>
      </c>
    </row>
    <row r="41" spans="1:16">
      <c r="A41" t="s">
        <v>219</v>
      </c>
      <c r="P41" t="s">
        <v>142</v>
      </c>
    </row>
    <row r="42" spans="1:16">
      <c r="A42" t="s">
        <v>125</v>
      </c>
      <c r="P42" t="s">
        <v>139</v>
      </c>
    </row>
    <row r="43" spans="1:16">
      <c r="A43" t="s">
        <v>131</v>
      </c>
      <c r="P43" t="s">
        <v>143</v>
      </c>
    </row>
    <row r="44" spans="1:16">
      <c r="P44" t="s">
        <v>140</v>
      </c>
    </row>
    <row r="45" spans="1:16">
      <c r="A45" t="s">
        <v>217</v>
      </c>
      <c r="P45" t="s">
        <v>141</v>
      </c>
    </row>
    <row r="46" spans="1:16">
      <c r="A46" t="s">
        <v>130</v>
      </c>
      <c r="P46" t="s">
        <v>144</v>
      </c>
    </row>
    <row r="47" spans="1:16">
      <c r="A47" t="s">
        <v>127</v>
      </c>
      <c r="P47" t="s">
        <v>185</v>
      </c>
    </row>
    <row r="48" spans="1:16">
      <c r="A48" t="s">
        <v>212</v>
      </c>
    </row>
    <row r="49" spans="1:3">
      <c r="A49" t="s">
        <v>213</v>
      </c>
    </row>
    <row r="51" spans="1:3">
      <c r="A51" t="s">
        <v>132</v>
      </c>
    </row>
    <row r="52" spans="1:3">
      <c r="A52" t="s">
        <v>133</v>
      </c>
      <c r="C52" t="s">
        <v>214</v>
      </c>
    </row>
    <row r="53" spans="1:3">
      <c r="A53" t="s">
        <v>134</v>
      </c>
      <c r="C53" t="s">
        <v>215</v>
      </c>
    </row>
    <row r="54" spans="1:3">
      <c r="A54" t="s">
        <v>135</v>
      </c>
      <c r="C54" t="s">
        <v>137</v>
      </c>
    </row>
    <row r="55" spans="1:3">
      <c r="A55" t="s">
        <v>136</v>
      </c>
      <c r="C55" t="s">
        <v>216</v>
      </c>
    </row>
  </sheetData>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D090-449F-4521-9405-36EE3D39945F}">
  <dimension ref="A2:A36"/>
  <sheetViews>
    <sheetView workbookViewId="0">
      <selection activeCell="Q14" sqref="Q14"/>
    </sheetView>
  </sheetViews>
  <sheetFormatPr defaultRowHeight="18.75"/>
  <sheetData>
    <row r="2" spans="1:1">
      <c r="A2" s="5" t="s">
        <v>36</v>
      </c>
    </row>
    <row r="3" spans="1:1">
      <c r="A3" s="6" t="s">
        <v>44</v>
      </c>
    </row>
    <row r="4" spans="1:1">
      <c r="A4" s="4"/>
    </row>
    <row r="5" spans="1:1">
      <c r="A5" s="3" t="s">
        <v>37</v>
      </c>
    </row>
    <row r="6" spans="1:1">
      <c r="A6" s="3" t="s">
        <v>38</v>
      </c>
    </row>
    <row r="7" spans="1:1">
      <c r="A7" s="3" t="s">
        <v>45</v>
      </c>
    </row>
    <row r="8" spans="1:1">
      <c r="A8" s="3" t="s">
        <v>46</v>
      </c>
    </row>
    <row r="9" spans="1:1">
      <c r="A9" s="3" t="s">
        <v>193</v>
      </c>
    </row>
    <row r="10" spans="1:1">
      <c r="A10" s="3"/>
    </row>
    <row r="11" spans="1:1">
      <c r="A11" s="4" t="s">
        <v>52</v>
      </c>
    </row>
    <row r="12" spans="1:1">
      <c r="A12" s="3" t="s">
        <v>39</v>
      </c>
    </row>
    <row r="13" spans="1:1">
      <c r="A13" s="3" t="s">
        <v>40</v>
      </c>
    </row>
    <row r="14" spans="1:1">
      <c r="A14" s="3" t="s">
        <v>41</v>
      </c>
    </row>
    <row r="15" spans="1:1">
      <c r="A15" s="3" t="s">
        <v>42</v>
      </c>
    </row>
    <row r="16" spans="1:1">
      <c r="A16" s="3" t="s">
        <v>53</v>
      </c>
    </row>
    <row r="17" spans="1:1">
      <c r="A17" s="3" t="s">
        <v>186</v>
      </c>
    </row>
    <row r="18" spans="1:1">
      <c r="A18" s="3" t="s">
        <v>187</v>
      </c>
    </row>
    <row r="19" spans="1:1">
      <c r="A19" s="3" t="s">
        <v>188</v>
      </c>
    </row>
    <row r="20" spans="1:1">
      <c r="A20" s="3"/>
    </row>
    <row r="21" spans="1:1">
      <c r="A21" s="4" t="s">
        <v>47</v>
      </c>
    </row>
    <row r="22" spans="1:1">
      <c r="A22" s="3" t="s">
        <v>189</v>
      </c>
    </row>
    <row r="23" spans="1:1">
      <c r="A23" s="3" t="s">
        <v>194</v>
      </c>
    </row>
    <row r="24" spans="1:1">
      <c r="A24" s="3" t="s">
        <v>195</v>
      </c>
    </row>
    <row r="25" spans="1:1">
      <c r="A25" s="3" t="s">
        <v>43</v>
      </c>
    </row>
    <row r="26" spans="1:1">
      <c r="A26" s="4" t="s">
        <v>54</v>
      </c>
    </row>
    <row r="27" spans="1:1">
      <c r="A27" s="4" t="s">
        <v>190</v>
      </c>
    </row>
    <row r="29" spans="1:1">
      <c r="A29" s="4" t="s">
        <v>48</v>
      </c>
    </row>
    <row r="30" spans="1:1">
      <c r="A30" s="3" t="s">
        <v>49</v>
      </c>
    </row>
    <row r="31" spans="1:1">
      <c r="A31" s="3" t="s">
        <v>191</v>
      </c>
    </row>
    <row r="32" spans="1:1">
      <c r="A32" s="3" t="s">
        <v>50</v>
      </c>
    </row>
    <row r="33" spans="1:1">
      <c r="A33" s="3" t="s">
        <v>51</v>
      </c>
    </row>
    <row r="34" spans="1:1">
      <c r="A34" s="3" t="s">
        <v>192</v>
      </c>
    </row>
    <row r="35" spans="1:1">
      <c r="A35" s="7" t="s">
        <v>196</v>
      </c>
    </row>
    <row r="36" spans="1:1">
      <c r="A36" s="3"/>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はじめに</vt:lpstr>
      <vt:lpstr>方法1</vt:lpstr>
      <vt:lpstr>方法2</vt:lpstr>
      <vt:lpstr>方法3</vt:lpstr>
      <vt:lpstr>方法4</vt:lpstr>
      <vt:lpstr>方法5</vt:lpstr>
      <vt:lpstr>まとめ</vt:lpstr>
      <vt:lpstr>最適化の考察</vt:lpstr>
      <vt:lpstr>発展</vt:lpstr>
      <vt:lpstr>AIの解答</vt:lpstr>
      <vt:lpstr>おまけ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ict15</dc:creator>
  <cp:lastModifiedBy>ict15</cp:lastModifiedBy>
  <dcterms:created xsi:type="dcterms:W3CDTF">2026-10-08T03:28:29Z</dcterms:created>
  <dcterms:modified xsi:type="dcterms:W3CDTF">2026-10-14T06:43:53Z</dcterms:modified>
</cp:coreProperties>
</file>
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ct15\Desktop\bak\202607\"/>
    </mc:Choice>
  </mc:AlternateContent>
  <xr:revisionPtr revIDLastSave="0" documentId="13_ncr:1_{AB8526DD-55EF-4F73-86F7-3DF8DE9CF865}" xr6:coauthVersionLast="47" xr6:coauthVersionMax="47" xr10:uidLastSave="{00000000-0000-0000-0000-000000000000}"/>
  <bookViews>
    <workbookView xWindow="1065" yWindow="390" windowWidth="24435" windowHeight="13575" activeTab="2" xr2:uid="{CFD13018-8C92-4E22-97A2-B7175F193F19}"/>
  </bookViews>
  <sheets>
    <sheet name="公開キー暗号" sheetId="8" r:id="rId1"/>
    <sheet name="原理の簡略化" sheetId="9" r:id="rId2"/>
    <sheet name="剰余系" sheetId="10" r:id="rId3"/>
    <sheet name="RSA(簡単な例)" sheetId="11" r:id="rId4"/>
    <sheet name="RSA(証明)" sheetId="12" r:id="rId5"/>
    <sheet name="RSA(計算)" sheetId="1" r:id="rId6"/>
    <sheet name="楕円" sheetId="2" r:id="rId7"/>
    <sheet name="楕円(加算1)" sheetId="4" r:id="rId8"/>
    <sheet name="楕円(加算2)" sheetId="13" r:id="rId9"/>
    <sheet name="楕円(加算3)" sheetId="6" r:id="rId10"/>
    <sheet name="楕円(逆元1)" sheetId="14" r:id="rId11"/>
    <sheet name="楕円(逆元2)" sheetId="7" r:id="rId12"/>
    <sheet name="楕円 (離散化)" sheetId="3" r:id="rId13"/>
    <sheet name="楕円(倍算)" sheetId="5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3" i="10" l="1"/>
  <c r="S3" i="5"/>
  <c r="T6" i="5"/>
  <c r="T25" i="5"/>
  <c r="S2" i="5"/>
  <c r="U3" i="5"/>
  <c r="U2" i="5"/>
  <c r="T5" i="5"/>
  <c r="Q24" i="5"/>
  <c r="D3" i="2"/>
  <c r="D4" i="2"/>
  <c r="D5" i="2"/>
  <c r="D6" i="2"/>
  <c r="D7" i="2"/>
  <c r="D8" i="2"/>
  <c r="D9" i="2"/>
  <c r="D10" i="2"/>
  <c r="D11" i="2"/>
  <c r="D12" i="2"/>
  <c r="D13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C44" i="2" s="1"/>
  <c r="G44" i="2" s="1"/>
  <c r="D45" i="2"/>
  <c r="C45" i="2" s="1"/>
  <c r="G45" i="2" s="1"/>
  <c r="D46" i="2"/>
  <c r="C46" i="2" s="1"/>
  <c r="G46" i="2" s="1"/>
  <c r="D47" i="2"/>
  <c r="C47" i="2" s="1"/>
  <c r="G47" i="2" s="1"/>
  <c r="D48" i="2"/>
  <c r="C48" i="2" s="1"/>
  <c r="G48" i="2" s="1"/>
  <c r="D49" i="2"/>
  <c r="C49" i="2" s="1"/>
  <c r="G49" i="2" s="1"/>
  <c r="D50" i="2"/>
  <c r="C50" i="2" s="1"/>
  <c r="G50" i="2" s="1"/>
  <c r="D51" i="2"/>
  <c r="C51" i="2" s="1"/>
  <c r="G51" i="2" s="1"/>
  <c r="D52" i="2"/>
  <c r="C52" i="2" s="1"/>
  <c r="G52" i="2" s="1"/>
  <c r="D53" i="2"/>
  <c r="C53" i="2" s="1"/>
  <c r="G53" i="2" s="1"/>
  <c r="D54" i="2"/>
  <c r="C54" i="2" s="1"/>
  <c r="G54" i="2" s="1"/>
  <c r="D55" i="2"/>
  <c r="D56" i="2"/>
  <c r="C56" i="2" s="1"/>
  <c r="G56" i="2" s="1"/>
  <c r="D57" i="2"/>
  <c r="C57" i="2" s="1"/>
  <c r="G57" i="2" s="1"/>
  <c r="D58" i="2"/>
  <c r="C58" i="2" s="1"/>
  <c r="G58" i="2" s="1"/>
  <c r="D59" i="2"/>
  <c r="C59" i="2" s="1"/>
  <c r="G59" i="2" s="1"/>
  <c r="D60" i="2"/>
  <c r="D61" i="2"/>
  <c r="C61" i="2" s="1"/>
  <c r="G61" i="2" s="1"/>
  <c r="D62" i="2"/>
  <c r="C62" i="2" s="1"/>
  <c r="G62" i="2" s="1"/>
  <c r="D63" i="2"/>
  <c r="C63" i="2" s="1"/>
  <c r="G63" i="2" s="1"/>
  <c r="D64" i="2"/>
  <c r="C64" i="2" s="1"/>
  <c r="G64" i="2" s="1"/>
  <c r="D65" i="2"/>
  <c r="C65" i="2" s="1"/>
  <c r="G65" i="2" s="1"/>
  <c r="D66" i="2"/>
  <c r="C66" i="2" s="1"/>
  <c r="G66" i="2" s="1"/>
  <c r="D67" i="2"/>
  <c r="C67" i="2" s="1"/>
  <c r="G67" i="2" s="1"/>
  <c r="D68" i="2"/>
  <c r="C68" i="2" s="1"/>
  <c r="G68" i="2" s="1"/>
  <c r="D69" i="2"/>
  <c r="C69" i="2" s="1"/>
  <c r="G69" i="2" s="1"/>
  <c r="D70" i="2"/>
  <c r="C70" i="2" s="1"/>
  <c r="G70" i="2" s="1"/>
  <c r="D71" i="2"/>
  <c r="C71" i="2" s="1"/>
  <c r="G71" i="2" s="1"/>
  <c r="D72" i="2"/>
  <c r="C72" i="2" s="1"/>
  <c r="G72" i="2" s="1"/>
  <c r="D73" i="2"/>
  <c r="D74" i="2"/>
  <c r="C74" i="2" s="1"/>
  <c r="G74" i="2" s="1"/>
  <c r="D75" i="2"/>
  <c r="C75" i="2" s="1"/>
  <c r="G75" i="2" s="1"/>
  <c r="D76" i="2"/>
  <c r="C76" i="2" s="1"/>
  <c r="G76" i="2" s="1"/>
  <c r="D77" i="2"/>
  <c r="C77" i="2" s="1"/>
  <c r="G77" i="2" s="1"/>
  <c r="D78" i="2"/>
  <c r="C78" i="2" s="1"/>
  <c r="G78" i="2" s="1"/>
  <c r="D79" i="2"/>
  <c r="C79" i="2" s="1"/>
  <c r="G79" i="2" s="1"/>
  <c r="D80" i="2"/>
  <c r="C80" i="2" s="1"/>
  <c r="G80" i="2" s="1"/>
  <c r="D81" i="2"/>
  <c r="C81" i="2" s="1"/>
  <c r="G81" i="2" s="1"/>
  <c r="D82" i="2"/>
  <c r="C82" i="2" s="1"/>
  <c r="G82" i="2" s="1"/>
  <c r="D83" i="2"/>
  <c r="C83" i="2" s="1"/>
  <c r="G83" i="2" s="1"/>
  <c r="D84" i="2"/>
  <c r="C84" i="2" s="1"/>
  <c r="G84" i="2" s="1"/>
  <c r="D85" i="2"/>
  <c r="C85" i="2" s="1"/>
  <c r="G85" i="2" s="1"/>
  <c r="D86" i="2"/>
  <c r="C86" i="2" s="1"/>
  <c r="G86" i="2" s="1"/>
  <c r="D87" i="2"/>
  <c r="C87" i="2" s="1"/>
  <c r="G87" i="2" s="1"/>
  <c r="D88" i="2"/>
  <c r="C88" i="2" s="1"/>
  <c r="G88" i="2" s="1"/>
  <c r="D89" i="2"/>
  <c r="C89" i="2" s="1"/>
  <c r="G89" i="2" s="1"/>
  <c r="D90" i="2"/>
  <c r="C90" i="2" s="1"/>
  <c r="G90" i="2" s="1"/>
  <c r="D91" i="2"/>
  <c r="D92" i="2"/>
  <c r="C92" i="2" s="1"/>
  <c r="G92" i="2" s="1"/>
  <c r="D93" i="2"/>
  <c r="C93" i="2" s="1"/>
  <c r="G93" i="2" s="1"/>
  <c r="D94" i="2"/>
  <c r="C94" i="2" s="1"/>
  <c r="G94" i="2" s="1"/>
  <c r="D95" i="2"/>
  <c r="C95" i="2" s="1"/>
  <c r="G95" i="2" s="1"/>
  <c r="D96" i="2"/>
  <c r="C96" i="2" s="1"/>
  <c r="G96" i="2" s="1"/>
  <c r="D97" i="2"/>
  <c r="C97" i="2" s="1"/>
  <c r="G97" i="2" s="1"/>
  <c r="D98" i="2"/>
  <c r="C98" i="2" s="1"/>
  <c r="G98" i="2" s="1"/>
  <c r="D99" i="2"/>
  <c r="C99" i="2" s="1"/>
  <c r="G99" i="2" s="1"/>
  <c r="D100" i="2"/>
  <c r="C100" i="2" s="1"/>
  <c r="G100" i="2" s="1"/>
  <c r="D101" i="2"/>
  <c r="C101" i="2" s="1"/>
  <c r="G101" i="2" s="1"/>
  <c r="D102" i="2"/>
  <c r="C102" i="2" s="1"/>
  <c r="G102" i="2" s="1"/>
  <c r="D103" i="2"/>
  <c r="C103" i="2" s="1"/>
  <c r="G103" i="2" s="1"/>
  <c r="D104" i="2"/>
  <c r="C104" i="2" s="1"/>
  <c r="G104" i="2" s="1"/>
  <c r="D105" i="2"/>
  <c r="C105" i="2" s="1"/>
  <c r="G105" i="2" s="1"/>
  <c r="D106" i="2"/>
  <c r="C106" i="2" s="1"/>
  <c r="G106" i="2" s="1"/>
  <c r="D107" i="2"/>
  <c r="C107" i="2" s="1"/>
  <c r="G107" i="2" s="1"/>
  <c r="D108" i="2"/>
  <c r="C108" i="2" s="1"/>
  <c r="G108" i="2" s="1"/>
  <c r="D109" i="2"/>
  <c r="C109" i="2" s="1"/>
  <c r="G109" i="2" s="1"/>
  <c r="D110" i="2"/>
  <c r="C110" i="2" s="1"/>
  <c r="G110" i="2" s="1"/>
  <c r="D111" i="2"/>
  <c r="C111" i="2" s="1"/>
  <c r="G111" i="2" s="1"/>
  <c r="D112" i="2"/>
  <c r="C112" i="2" s="1"/>
  <c r="G112" i="2" s="1"/>
  <c r="D113" i="2"/>
  <c r="C113" i="2" s="1"/>
  <c r="G113" i="2" s="1"/>
  <c r="C60" i="2"/>
  <c r="G60" i="2" s="1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C55" i="2"/>
  <c r="G55" i="2" s="1"/>
  <c r="C73" i="2"/>
  <c r="G73" i="2" s="1"/>
  <c r="C91" i="2"/>
  <c r="G91" i="2" s="1"/>
  <c r="F3" i="2"/>
  <c r="F4" i="2"/>
  <c r="F5" i="2"/>
  <c r="F6" i="2"/>
  <c r="F7" i="2"/>
  <c r="F8" i="2"/>
  <c r="F9" i="2"/>
  <c r="F10" i="2"/>
  <c r="F11" i="2"/>
  <c r="F12" i="2"/>
  <c r="F13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B3" i="7" l="1"/>
  <c r="D7" i="3"/>
  <c r="G7" i="3" s="1"/>
  <c r="F18" i="3"/>
  <c r="F13" i="3"/>
  <c r="F5" i="3"/>
  <c r="D3" i="3"/>
  <c r="F6" i="3"/>
  <c r="F3" i="3"/>
  <c r="J8" i="3"/>
  <c r="J3" i="3"/>
  <c r="J4" i="3"/>
  <c r="E3" i="3"/>
  <c r="J9" i="3"/>
  <c r="D4" i="3"/>
  <c r="I16" i="1"/>
  <c r="J16" i="1" s="1"/>
  <c r="K16" i="1" s="1"/>
  <c r="G10" i="1"/>
  <c r="F11" i="1"/>
  <c r="G11" i="1" s="1"/>
  <c r="F10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3" i="1"/>
  <c r="R4" i="11"/>
  <c r="S4" i="11" s="1"/>
  <c r="R3" i="11"/>
  <c r="S3" i="11" s="1"/>
  <c r="R5" i="11"/>
  <c r="S5" i="11" s="1"/>
  <c r="R6" i="11"/>
  <c r="S6" i="11" s="1"/>
  <c r="R7" i="11"/>
  <c r="S7" i="11" s="1"/>
  <c r="R8" i="11"/>
  <c r="S8" i="11" s="1"/>
  <c r="R9" i="11"/>
  <c r="S9" i="11" s="1"/>
  <c r="R10" i="11"/>
  <c r="S10" i="11" s="1"/>
  <c r="R11" i="11"/>
  <c r="S11" i="11" s="1"/>
  <c r="R12" i="11"/>
  <c r="S12" i="11" s="1"/>
  <c r="R13" i="11"/>
  <c r="S13" i="11" s="1"/>
  <c r="R14" i="11"/>
  <c r="S14" i="11" s="1"/>
  <c r="R15" i="11"/>
  <c r="S15" i="11" s="1"/>
  <c r="R16" i="11"/>
  <c r="S16" i="11" s="1"/>
  <c r="R17" i="11"/>
  <c r="S17" i="11" s="1"/>
  <c r="R18" i="11"/>
  <c r="S18" i="11" s="1"/>
  <c r="R19" i="11"/>
  <c r="S19" i="11" s="1"/>
  <c r="R20" i="11"/>
  <c r="S20" i="11" s="1"/>
  <c r="R21" i="11"/>
  <c r="S21" i="11" s="1"/>
  <c r="R2" i="11"/>
  <c r="S2" i="11" s="1"/>
  <c r="M27" i="10"/>
  <c r="N27" i="10" s="1"/>
  <c r="M25" i="10"/>
  <c r="N25" i="10" s="1"/>
  <c r="M23" i="10"/>
  <c r="M21" i="10"/>
  <c r="N21" i="10" s="1"/>
  <c r="N17" i="10"/>
  <c r="M19" i="10"/>
  <c r="M17" i="10"/>
  <c r="C7" i="2"/>
  <c r="G7" i="2" s="1"/>
  <c r="C8" i="2"/>
  <c r="G8" i="2" s="1"/>
  <c r="C9" i="2"/>
  <c r="G9" i="2" s="1"/>
  <c r="C10" i="2"/>
  <c r="G10" i="2" s="1"/>
  <c r="C11" i="2"/>
  <c r="G11" i="2" s="1"/>
  <c r="C12" i="2"/>
  <c r="G12" i="2" s="1"/>
  <c r="C13" i="2"/>
  <c r="G13" i="2" s="1"/>
  <c r="C23" i="2"/>
  <c r="G23" i="2" s="1"/>
  <c r="C24" i="2"/>
  <c r="G24" i="2" s="1"/>
  <c r="C25" i="2"/>
  <c r="G25" i="2" s="1"/>
  <c r="C26" i="2"/>
  <c r="G26" i="2" s="1"/>
  <c r="C27" i="2"/>
  <c r="G27" i="2" s="1"/>
  <c r="C28" i="2"/>
  <c r="G28" i="2" s="1"/>
  <c r="C29" i="2"/>
  <c r="G29" i="2" s="1"/>
  <c r="C30" i="2"/>
  <c r="G30" i="2" s="1"/>
  <c r="C31" i="2"/>
  <c r="G31" i="2" s="1"/>
  <c r="C32" i="2"/>
  <c r="G32" i="2" s="1"/>
  <c r="C33" i="2"/>
  <c r="G33" i="2" s="1"/>
  <c r="C34" i="2"/>
  <c r="G34" i="2" s="1"/>
  <c r="C35" i="2"/>
  <c r="G35" i="2" s="1"/>
  <c r="C36" i="2"/>
  <c r="G36" i="2" s="1"/>
  <c r="C37" i="2"/>
  <c r="G37" i="2" s="1"/>
  <c r="C38" i="2"/>
  <c r="G38" i="2" s="1"/>
  <c r="C39" i="2"/>
  <c r="G39" i="2" s="1"/>
  <c r="C40" i="2"/>
  <c r="G40" i="2" s="1"/>
  <c r="C41" i="2"/>
  <c r="G41" i="2" s="1"/>
  <c r="C42" i="2"/>
  <c r="G42" i="2" s="1"/>
  <c r="C43" i="2"/>
  <c r="G43" i="2" s="1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28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4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C12" i="4"/>
  <c r="C13" i="4" s="1"/>
  <c r="C8" i="4"/>
  <c r="B8" i="4"/>
  <c r="B12" i="4" s="1"/>
  <c r="B13" i="4" s="1"/>
  <c r="J17" i="1" l="1"/>
  <c r="K17" i="1" s="1"/>
  <c r="K18" i="1" s="1"/>
  <c r="J63" i="3"/>
  <c r="E63" i="3"/>
  <c r="F63" i="3" s="1"/>
  <c r="J62" i="3"/>
  <c r="E62" i="3"/>
  <c r="F62" i="3" s="1"/>
  <c r="J61" i="3"/>
  <c r="E61" i="3"/>
  <c r="F61" i="3" s="1"/>
  <c r="J60" i="3"/>
  <c r="E60" i="3"/>
  <c r="F60" i="3" s="1"/>
  <c r="J59" i="3"/>
  <c r="E59" i="3"/>
  <c r="F59" i="3" s="1"/>
  <c r="J58" i="3"/>
  <c r="E58" i="3"/>
  <c r="F58" i="3" s="1"/>
  <c r="J57" i="3"/>
  <c r="E57" i="3"/>
  <c r="F57" i="3" s="1"/>
  <c r="J56" i="3"/>
  <c r="E56" i="3"/>
  <c r="F56" i="3" s="1"/>
  <c r="J55" i="3"/>
  <c r="E55" i="3"/>
  <c r="F55" i="3" s="1"/>
  <c r="J54" i="3"/>
  <c r="E54" i="3"/>
  <c r="F54" i="3" s="1"/>
  <c r="J53" i="3"/>
  <c r="E53" i="3"/>
  <c r="F53" i="3" s="1"/>
  <c r="J52" i="3"/>
  <c r="E52" i="3"/>
  <c r="F52" i="3" s="1"/>
  <c r="J51" i="3"/>
  <c r="E51" i="3"/>
  <c r="F51" i="3" s="1"/>
  <c r="J50" i="3"/>
  <c r="E50" i="3"/>
  <c r="F50" i="3" s="1"/>
  <c r="J49" i="3"/>
  <c r="E49" i="3"/>
  <c r="F49" i="3" s="1"/>
  <c r="J48" i="3"/>
  <c r="E48" i="3"/>
  <c r="F48" i="3" s="1"/>
  <c r="J47" i="3"/>
  <c r="E47" i="3"/>
  <c r="F47" i="3" s="1"/>
  <c r="J46" i="3"/>
  <c r="E46" i="3"/>
  <c r="F46" i="3" s="1"/>
  <c r="J45" i="3"/>
  <c r="E45" i="3"/>
  <c r="F45" i="3" s="1"/>
  <c r="J44" i="3"/>
  <c r="E44" i="3"/>
  <c r="F44" i="3" s="1"/>
  <c r="J43" i="3"/>
  <c r="E43" i="3"/>
  <c r="F43" i="3" s="1"/>
  <c r="J42" i="3"/>
  <c r="E42" i="3"/>
  <c r="F42" i="3" s="1"/>
  <c r="J41" i="3"/>
  <c r="E41" i="3"/>
  <c r="F41" i="3" s="1"/>
  <c r="J40" i="3"/>
  <c r="E40" i="3"/>
  <c r="F40" i="3" s="1"/>
  <c r="J39" i="3"/>
  <c r="E39" i="3"/>
  <c r="F39" i="3" s="1"/>
  <c r="J38" i="3"/>
  <c r="E38" i="3"/>
  <c r="F38" i="3" s="1"/>
  <c r="J37" i="3"/>
  <c r="E37" i="3"/>
  <c r="F37" i="3" s="1"/>
  <c r="J36" i="3"/>
  <c r="E36" i="3"/>
  <c r="F36" i="3" s="1"/>
  <c r="J35" i="3"/>
  <c r="E35" i="3"/>
  <c r="F35" i="3" s="1"/>
  <c r="J34" i="3"/>
  <c r="E34" i="3"/>
  <c r="F34" i="3" s="1"/>
  <c r="J33" i="3"/>
  <c r="E33" i="3"/>
  <c r="F33" i="3" s="1"/>
  <c r="J32" i="3"/>
  <c r="E32" i="3"/>
  <c r="F32" i="3" s="1"/>
  <c r="J31" i="3"/>
  <c r="E31" i="3"/>
  <c r="F31" i="3" s="1"/>
  <c r="J30" i="3"/>
  <c r="E30" i="3"/>
  <c r="F30" i="3" s="1"/>
  <c r="J29" i="3"/>
  <c r="F29" i="3"/>
  <c r="E29" i="3"/>
  <c r="J28" i="3"/>
  <c r="E28" i="3"/>
  <c r="F28" i="3" s="1"/>
  <c r="J27" i="3"/>
  <c r="E27" i="3"/>
  <c r="F27" i="3" s="1"/>
  <c r="J26" i="3"/>
  <c r="E26" i="3"/>
  <c r="F26" i="3" s="1"/>
  <c r="J25" i="3"/>
  <c r="E25" i="3"/>
  <c r="F25" i="3" s="1"/>
  <c r="J24" i="3"/>
  <c r="E24" i="3"/>
  <c r="F24" i="3" s="1"/>
  <c r="J23" i="3"/>
  <c r="E23" i="3"/>
  <c r="F23" i="3" s="1"/>
  <c r="J22" i="3"/>
  <c r="E22" i="3"/>
  <c r="F22" i="3" s="1"/>
  <c r="J21" i="3"/>
  <c r="F21" i="3"/>
  <c r="E21" i="3"/>
  <c r="J20" i="3"/>
  <c r="E20" i="3"/>
  <c r="F20" i="3" s="1"/>
  <c r="J19" i="3"/>
  <c r="E19" i="3"/>
  <c r="F19" i="3" s="1"/>
  <c r="D19" i="3" s="1"/>
  <c r="J18" i="3"/>
  <c r="E18" i="3"/>
  <c r="J17" i="3"/>
  <c r="E17" i="3"/>
  <c r="F17" i="3" s="1"/>
  <c r="J16" i="3"/>
  <c r="E16" i="3"/>
  <c r="F16" i="3" s="1"/>
  <c r="J15" i="3"/>
  <c r="E15" i="3"/>
  <c r="F15" i="3" s="1"/>
  <c r="J14" i="3"/>
  <c r="E14" i="3"/>
  <c r="F14" i="3" s="1"/>
  <c r="J13" i="3"/>
  <c r="E13" i="3"/>
  <c r="J12" i="3"/>
  <c r="E12" i="3"/>
  <c r="F12" i="3" s="1"/>
  <c r="J11" i="3"/>
  <c r="E11" i="3"/>
  <c r="F11" i="3" s="1"/>
  <c r="J10" i="3"/>
  <c r="E10" i="3"/>
  <c r="F10" i="3" s="1"/>
  <c r="E9" i="3"/>
  <c r="F9" i="3" s="1"/>
  <c r="E8" i="3"/>
  <c r="F8" i="3" s="1"/>
  <c r="J7" i="3"/>
  <c r="E7" i="3"/>
  <c r="F7" i="3" s="1"/>
  <c r="J6" i="3"/>
  <c r="E6" i="3"/>
  <c r="J5" i="3"/>
  <c r="E5" i="3"/>
  <c r="E4" i="3"/>
  <c r="F4" i="3" s="1"/>
  <c r="C3" i="2"/>
  <c r="G3" i="2" s="1"/>
  <c r="C4" i="2"/>
  <c r="G4" i="2" s="1"/>
  <c r="C5" i="2"/>
  <c r="G5" i="2" s="1"/>
  <c r="C6" i="2"/>
  <c r="G6" i="2" s="1"/>
  <c r="I19" i="1" l="1"/>
  <c r="J12" i="1"/>
  <c r="D5" i="3"/>
  <c r="D22" i="3"/>
  <c r="D6" i="3"/>
  <c r="D10" i="3"/>
  <c r="D24" i="3"/>
  <c r="D29" i="3"/>
  <c r="D32" i="3"/>
  <c r="D35" i="3"/>
  <c r="D38" i="3"/>
  <c r="D8" i="3"/>
  <c r="D34" i="3"/>
  <c r="D33" i="3"/>
  <c r="D23" i="3"/>
  <c r="D15" i="3"/>
  <c r="D59" i="3"/>
  <c r="D13" i="3"/>
  <c r="G13" i="3" s="1"/>
  <c r="D31" i="3"/>
  <c r="G31" i="3" s="1"/>
  <c r="D42" i="3"/>
  <c r="G42" i="3" s="1"/>
  <c r="D45" i="3"/>
  <c r="D47" i="3"/>
  <c r="G47" i="3" s="1"/>
  <c r="D18" i="3"/>
  <c r="G18" i="3" s="1"/>
  <c r="D43" i="3"/>
  <c r="D49" i="3"/>
  <c r="G49" i="3" s="1"/>
  <c r="D9" i="3"/>
  <c r="G9" i="3" s="1"/>
  <c r="D14" i="3"/>
  <c r="G14" i="3" s="1"/>
  <c r="D26" i="3"/>
  <c r="G26" i="3" s="1"/>
  <c r="D37" i="3"/>
  <c r="G37" i="3" s="1"/>
  <c r="D46" i="3"/>
  <c r="G46" i="3" s="1"/>
  <c r="D12" i="3"/>
  <c r="G12" i="3" s="1"/>
  <c r="D17" i="3"/>
  <c r="G17" i="3" s="1"/>
  <c r="D51" i="3"/>
  <c r="G51" i="3" s="1"/>
  <c r="D56" i="3"/>
  <c r="G56" i="3" s="1"/>
  <c r="D61" i="3"/>
  <c r="D54" i="3"/>
  <c r="G54" i="3" s="1"/>
  <c r="D20" i="3"/>
  <c r="G20" i="3" s="1"/>
  <c r="D52" i="3"/>
  <c r="D57" i="3"/>
  <c r="D62" i="3"/>
  <c r="D30" i="3"/>
  <c r="G30" i="3" s="1"/>
  <c r="D41" i="3"/>
  <c r="G41" i="3" s="1"/>
  <c r="D27" i="3"/>
  <c r="G27" i="3" s="1"/>
  <c r="D25" i="3"/>
  <c r="G25" i="3" s="1"/>
  <c r="D36" i="3"/>
  <c r="G36" i="3" s="1"/>
  <c r="D44" i="3"/>
  <c r="D11" i="3"/>
  <c r="G11" i="3" s="1"/>
  <c r="D16" i="3"/>
  <c r="G16" i="3" s="1"/>
  <c r="D21" i="3"/>
  <c r="G21" i="3" s="1"/>
  <c r="D39" i="3"/>
  <c r="G39" i="3" s="1"/>
  <c r="D50" i="3"/>
  <c r="G50" i="3" s="1"/>
  <c r="D55" i="3"/>
  <c r="G55" i="3" s="1"/>
  <c r="D60" i="3"/>
  <c r="G60" i="3" s="1"/>
  <c r="D63" i="3"/>
  <c r="D28" i="3"/>
  <c r="G28" i="3" s="1"/>
  <c r="D48" i="3"/>
  <c r="D58" i="3"/>
  <c r="G58" i="3" s="1"/>
  <c r="D53" i="3"/>
  <c r="G53" i="3" s="1"/>
  <c r="D40" i="3"/>
  <c r="G40" i="3" s="1"/>
  <c r="C3" i="1"/>
  <c r="D3" i="1" s="1"/>
  <c r="B5" i="1" s="1"/>
  <c r="C5" i="1" s="1"/>
  <c r="D5" i="1" s="1"/>
  <c r="J20" i="1" l="1"/>
  <c r="K20" i="1" s="1"/>
  <c r="J19" i="1"/>
  <c r="K19" i="1" s="1"/>
  <c r="J21" i="1" l="1"/>
  <c r="K21" i="1" s="1"/>
  <c r="K12" i="1" s="1"/>
</calcChain>
</file>

<file path=xl/sharedStrings.xml><?xml version="1.0" encoding="utf-8"?>
<sst xmlns="http://schemas.openxmlformats.org/spreadsheetml/2006/main" count="150" uniqueCount="134">
  <si>
    <t>変換前</t>
    <rPh sb="0" eb="2">
      <t>ヘンカン</t>
    </rPh>
    <rPh sb="2" eb="3">
      <t>マエ</t>
    </rPh>
    <phoneticPr fontId="1"/>
  </si>
  <si>
    <t>変換後</t>
    <rPh sb="0" eb="2">
      <t>ヘンカン</t>
    </rPh>
    <rPh sb="2" eb="3">
      <t>アト</t>
    </rPh>
    <phoneticPr fontId="1"/>
  </si>
  <si>
    <t>中間</t>
    <rPh sb="0" eb="2">
      <t>チュウカン</t>
    </rPh>
    <phoneticPr fontId="1"/>
  </si>
  <si>
    <t>mod</t>
    <phoneticPr fontId="1"/>
  </si>
  <si>
    <t>法</t>
    <rPh sb="0" eb="1">
      <t>ホウ</t>
    </rPh>
    <phoneticPr fontId="1"/>
  </si>
  <si>
    <t>数(三乗)</t>
    <rPh sb="0" eb="1">
      <t>スウ</t>
    </rPh>
    <rPh sb="2" eb="4">
      <t>サンジョウ</t>
    </rPh>
    <phoneticPr fontId="1"/>
  </si>
  <si>
    <t>X</t>
    <phoneticPr fontId="1"/>
  </si>
  <si>
    <t>Y</t>
    <phoneticPr fontId="1"/>
  </si>
  <si>
    <t>Y2</t>
    <phoneticPr fontId="1"/>
  </si>
  <si>
    <t>Y</t>
  </si>
  <si>
    <t>MOD(Y^2)</t>
    <phoneticPr fontId="1"/>
  </si>
  <si>
    <r>
      <t>Y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phoneticPr fontId="1"/>
  </si>
  <si>
    <t>楕円曲線暗号 - Wikipedia</t>
  </si>
  <si>
    <t>61-Y</t>
  </si>
  <si>
    <t>61-Y</t>
    <phoneticPr fontId="1"/>
  </si>
  <si>
    <t>X</t>
  </si>
  <si>
    <t>y2 = x3 − x</t>
  </si>
  <si>
    <t>x1</t>
    <phoneticPr fontId="1"/>
  </si>
  <si>
    <t>y1</t>
    <phoneticPr fontId="1"/>
  </si>
  <si>
    <t>G</t>
    <phoneticPr fontId="1"/>
  </si>
  <si>
    <t>α</t>
    <phoneticPr fontId="1"/>
  </si>
  <si>
    <t>φ</t>
    <phoneticPr fontId="1"/>
  </si>
  <si>
    <t>ψ</t>
    <phoneticPr fontId="1"/>
  </si>
  <si>
    <t>p</t>
    <phoneticPr fontId="1"/>
  </si>
  <si>
    <t>22の逆数</t>
    <rPh sb="3" eb="5">
      <t>ギャクスウ</t>
    </rPh>
    <phoneticPr fontId="1"/>
  </si>
  <si>
    <t>x3</t>
    <phoneticPr fontId="1"/>
  </si>
  <si>
    <t>y3</t>
    <phoneticPr fontId="1"/>
  </si>
  <si>
    <t>法61において22の逆元の求め方</t>
    <rPh sb="0" eb="1">
      <t>ホウ</t>
    </rPh>
    <rPh sb="10" eb="12">
      <t>ギャクゲン</t>
    </rPh>
    <rPh sb="13" eb="14">
      <t>モト</t>
    </rPh>
    <rPh sb="15" eb="16">
      <t>カタ</t>
    </rPh>
    <phoneticPr fontId="1"/>
  </si>
  <si>
    <t>一覧</t>
    <rPh sb="0" eb="2">
      <t>イチラン</t>
    </rPh>
    <phoneticPr fontId="1"/>
  </si>
  <si>
    <r>
      <t>X</t>
    </r>
    <r>
      <rPr>
        <vertAlign val="superscript"/>
        <sz val="11"/>
        <color theme="1"/>
        <rFont val="游ゴシック"/>
        <family val="3"/>
        <charset val="128"/>
        <scheme val="minor"/>
      </rPr>
      <t>-1</t>
    </r>
    <phoneticPr fontId="1"/>
  </si>
  <si>
    <t>元の数→</t>
    <rPh sb="0" eb="1">
      <t>モト</t>
    </rPh>
    <rPh sb="2" eb="3">
      <t>スウ</t>
    </rPh>
    <phoneticPr fontId="1"/>
  </si>
  <si>
    <t>例：相手が思った数字を当てる計算式（2桁の数字）</t>
  </si>
  <si>
    <t>相手に 10〜99の好きな2桁の数字 を思ってもらう（例：47）。</t>
  </si>
  <si>
    <t>その数字に 2を掛ける。</t>
  </si>
  <si>
    <t>→ 47 × 2 = 94</t>
  </si>
  <si>
    <t>8を足す。</t>
  </si>
  <si>
    <t>→ 94 + 8 = 102</t>
  </si>
  <si>
    <t>5を掛ける。</t>
  </si>
  <si>
    <t>→ 102 × 5 = 510</t>
  </si>
  <si>
    <t>好きな1桁の数字（0〜9）を足してもらう（例：7）。</t>
  </si>
  <si>
    <t>→ 510 + 7 = 517</t>
  </si>
  <si>
    <t>最後に、その結果を教えてもらう（例：517）。</t>
  </si>
  <si>
    <t>当て方</t>
  </si>
  <si>
    <t>もらった数（例：517）から 40を引く。</t>
  </si>
  <si>
    <t>→ 517 - 40 = 477</t>
  </si>
  <si>
    <t>公開キーの原理</t>
  </si>
  <si>
    <t>公開鍵暗号方式の原理は、暗号化と復号に異なる鍵を使用することにあります。</t>
  </si>
  <si>
    <t>公開鍵は誰にでも公開できる鍵であり、この鍵で暗号化されたメッセージは、対応する秘密鍵でのみ復号可能です。</t>
  </si>
  <si>
    <t>少し数学的に表現すると、</t>
    <rPh sb="0" eb="1">
      <t>スコ</t>
    </rPh>
    <rPh sb="2" eb="4">
      <t>スウガク</t>
    </rPh>
    <rPh sb="4" eb="5">
      <t>テキ</t>
    </rPh>
    <rPh sb="6" eb="8">
      <t>ヒョウゲン</t>
    </rPh>
    <phoneticPr fontId="1"/>
  </si>
  <si>
    <t>伝文を暗号化するための演算方法や演算に用いる数値を公開し、</t>
    <rPh sb="0" eb="2">
      <t>デンブン</t>
    </rPh>
    <rPh sb="3" eb="6">
      <t>アンゴウカ</t>
    </rPh>
    <rPh sb="11" eb="13">
      <t>エンザン</t>
    </rPh>
    <rPh sb="13" eb="15">
      <t>ホウホウ</t>
    </rPh>
    <rPh sb="16" eb="18">
      <t>エンザン</t>
    </rPh>
    <rPh sb="19" eb="20">
      <t>モチ</t>
    </rPh>
    <rPh sb="22" eb="24">
      <t>スウチ</t>
    </rPh>
    <rPh sb="25" eb="27">
      <t>コウカイ</t>
    </rPh>
    <phoneticPr fontId="1"/>
  </si>
  <si>
    <t>公開キーをe=3、n=33とした場合、</t>
    <rPh sb="0" eb="2">
      <t>コウカイ</t>
    </rPh>
    <rPh sb="16" eb="18">
      <t>バアイ</t>
    </rPh>
    <phoneticPr fontId="1"/>
  </si>
  <si>
    <t>※ただし、eはnによって関連付けられた数値であることに注意</t>
    <rPh sb="12" eb="15">
      <t>カンレンヅ</t>
    </rPh>
    <rPh sb="19" eb="21">
      <t>スウチ</t>
    </rPh>
    <rPh sb="27" eb="29">
      <t>チュウイ</t>
    </rPh>
    <phoneticPr fontId="1"/>
  </si>
  <si>
    <t>数値9を変換すると、9^3　MOD　33　から　3　が暗号化された数値となります</t>
    <rPh sb="0" eb="2">
      <t>スウチ</t>
    </rPh>
    <rPh sb="4" eb="6">
      <t>ヘンカン</t>
    </rPh>
    <rPh sb="27" eb="30">
      <t>アンゴウカ</t>
    </rPh>
    <rPh sb="33" eb="34">
      <t>スウ</t>
    </rPh>
    <rPh sb="34" eb="35">
      <t>チ</t>
    </rPh>
    <phoneticPr fontId="1"/>
  </si>
  <si>
    <t>(9^3 = 729 を　33　で割ると　余り3)</t>
    <rPh sb="17" eb="18">
      <t>ワ</t>
    </rPh>
    <rPh sb="21" eb="22">
      <t>アマ</t>
    </rPh>
    <phoneticPr fontId="1"/>
  </si>
  <si>
    <t>10で割った商が元の2桁の数字（47）、余りが後から足した数字（7）</t>
    <rPh sb="3" eb="4">
      <t>ワ</t>
    </rPh>
    <rPh sb="6" eb="7">
      <t>ショウ</t>
    </rPh>
    <rPh sb="8" eb="9">
      <t>モト</t>
    </rPh>
    <rPh sb="11" eb="12">
      <t>ケタ</t>
    </rPh>
    <rPh sb="20" eb="21">
      <t>アマ</t>
    </rPh>
    <phoneticPr fontId="1"/>
  </si>
  <si>
    <t>例えば素数の積と、剰余系を利用したRSA暗号の場合</t>
    <rPh sb="0" eb="1">
      <t>タト</t>
    </rPh>
    <rPh sb="3" eb="5">
      <t>ソスウ</t>
    </rPh>
    <rPh sb="6" eb="7">
      <t>セキ</t>
    </rPh>
    <rPh sb="9" eb="11">
      <t>ジョウヨ</t>
    </rPh>
    <rPh sb="11" eb="12">
      <t>ケイ</t>
    </rPh>
    <rPh sb="13" eb="15">
      <t>リヨウ</t>
    </rPh>
    <rPh sb="20" eb="22">
      <t>アンゴウ</t>
    </rPh>
    <rPh sb="23" eb="25">
      <t>バアイ</t>
    </rPh>
    <phoneticPr fontId="1"/>
  </si>
  <si>
    <t>暗号化には、もとの伝文(数値)をe乗し、n(素数の積)で割った余りに変換する</t>
    <rPh sb="0" eb="2">
      <t>アンゴウ</t>
    </rPh>
    <rPh sb="2" eb="3">
      <t>カ</t>
    </rPh>
    <rPh sb="9" eb="11">
      <t>デンブン</t>
    </rPh>
    <rPh sb="12" eb="14">
      <t>スウチ</t>
    </rPh>
    <rPh sb="17" eb="18">
      <t>ジョウ</t>
    </rPh>
    <rPh sb="22" eb="24">
      <t>ソスウ</t>
    </rPh>
    <rPh sb="25" eb="26">
      <t>セキ</t>
    </rPh>
    <rPh sb="28" eb="29">
      <t>ワ</t>
    </rPh>
    <rPh sb="31" eb="32">
      <t>アマ</t>
    </rPh>
    <rPh sb="34" eb="36">
      <t>ヘンカン</t>
    </rPh>
    <phoneticPr fontId="1"/>
  </si>
  <si>
    <t>秘密の演算や数値を利用して、暗号化された伝文を元の伝文に(複合)することです。</t>
    <rPh sb="0" eb="2">
      <t>ヒミツ</t>
    </rPh>
    <rPh sb="3" eb="5">
      <t>エンザン</t>
    </rPh>
    <rPh sb="6" eb="8">
      <t>スウチ</t>
    </rPh>
    <rPh sb="9" eb="11">
      <t>リヨウ</t>
    </rPh>
    <rPh sb="14" eb="17">
      <t>アンゴウカ</t>
    </rPh>
    <rPh sb="20" eb="22">
      <t>デンブン</t>
    </rPh>
    <rPh sb="23" eb="24">
      <t>モト</t>
    </rPh>
    <rPh sb="25" eb="27">
      <t>デンブン</t>
    </rPh>
    <rPh sb="29" eb="31">
      <t>フクゴウ</t>
    </rPh>
    <phoneticPr fontId="1"/>
  </si>
  <si>
    <t>→ 477　÷　10　=　47　余り　7</t>
    <rPh sb="16" eb="17">
      <t>アマ</t>
    </rPh>
    <phoneticPr fontId="1"/>
  </si>
  <si>
    <t>整数をある数値で割った余りにより分類する方法</t>
    <rPh sb="0" eb="2">
      <t>セイスウ</t>
    </rPh>
    <rPh sb="5" eb="7">
      <t>スウチ</t>
    </rPh>
    <rPh sb="8" eb="9">
      <t>ワ</t>
    </rPh>
    <rPh sb="11" eb="12">
      <t>アマ</t>
    </rPh>
    <rPh sb="16" eb="18">
      <t>ブンルイ</t>
    </rPh>
    <rPh sb="20" eb="22">
      <t>ホウホウ</t>
    </rPh>
    <phoneticPr fontId="1"/>
  </si>
  <si>
    <t>例えば3で割ることを考えると</t>
    <rPh sb="0" eb="1">
      <t>タト</t>
    </rPh>
    <rPh sb="5" eb="6">
      <t>ワ</t>
    </rPh>
    <rPh sb="10" eb="11">
      <t>カンガ</t>
    </rPh>
    <phoneticPr fontId="1"/>
  </si>
  <si>
    <t>0、3、6、・・・余りが0となる組</t>
    <rPh sb="9" eb="10">
      <t>アマ</t>
    </rPh>
    <rPh sb="16" eb="17">
      <t>クミ</t>
    </rPh>
    <phoneticPr fontId="1"/>
  </si>
  <si>
    <t>1、4、7、・・・余りが1となる組</t>
    <rPh sb="9" eb="10">
      <t>アマ</t>
    </rPh>
    <rPh sb="16" eb="17">
      <t>クミ</t>
    </rPh>
    <phoneticPr fontId="1"/>
  </si>
  <si>
    <t>2、5、8、・・・余りが2となる組</t>
    <rPh sb="9" eb="10">
      <t>アマ</t>
    </rPh>
    <rPh sb="16" eb="17">
      <t>クミ</t>
    </rPh>
    <phoneticPr fontId="1"/>
  </si>
  <si>
    <t>4 MOD 3 = 1</t>
    <phoneticPr fontId="1"/>
  </si>
  <si>
    <t>4 は 3を法にして 1 と合同</t>
    <rPh sb="6" eb="7">
      <t>ホウ</t>
    </rPh>
    <rPh sb="14" eb="16">
      <t>ゴウドウ</t>
    </rPh>
    <phoneticPr fontId="1"/>
  </si>
  <si>
    <t>合同の定義</t>
  </si>
  <si>
    <t xml:space="preserve">2つの整数 </t>
  </si>
  <si>
    <t>a と b が整数 m を法として合同であるとは、次のように表現されます：</t>
  </si>
  <si>
    <t>a≡b (mod m)</t>
  </si>
  <si>
    <t>これは、a と b を m で割った余りが同じであることを示します。例えば、</t>
  </si>
  <si>
    <t>14 と 8 は 6 で割った余りがともに 2 であるため、次のように表現できます。</t>
  </si>
  <si>
    <t>14≡8 (mod 6)</t>
  </si>
  <si>
    <t>(a * b) mod n</t>
    <phoneticPr fontId="1"/>
  </si>
  <si>
    <t>= ((a mod n) * (b mod n)) mod n</t>
    <phoneticPr fontId="1"/>
  </si>
  <si>
    <t>a= c*n + d</t>
    <phoneticPr fontId="1"/>
  </si>
  <si>
    <t>b= e*n + f</t>
    <phoneticPr fontId="1"/>
  </si>
  <si>
    <t>左辺 = 右辺 = d*f mod n = g</t>
    <rPh sb="0" eb="2">
      <t>サヘン</t>
    </rPh>
    <rPh sb="5" eb="7">
      <t>ウヘン</t>
    </rPh>
    <phoneticPr fontId="1"/>
  </si>
  <si>
    <t>a^I mod n = (((a^k) mod n) * ((a^i-k) mod n)) mod n</t>
    <phoneticPr fontId="1"/>
  </si>
  <si>
    <t>(a^i)^j mod n = ((((a mod n)^i) mod n)^j) mod n</t>
    <phoneticPr fontId="1"/>
  </si>
  <si>
    <t>大きな整数値をn以下の整数値で処理できる</t>
    <rPh sb="0" eb="1">
      <t>オオ</t>
    </rPh>
    <rPh sb="3" eb="5">
      <t>セイスウ</t>
    </rPh>
    <rPh sb="5" eb="6">
      <t>アタイ</t>
    </rPh>
    <rPh sb="8" eb="10">
      <t>イカ</t>
    </rPh>
    <rPh sb="11" eb="13">
      <t>セイスウ</t>
    </rPh>
    <rPh sb="13" eb="14">
      <t>チ</t>
    </rPh>
    <rPh sb="15" eb="17">
      <t>ショリ</t>
    </rPh>
    <phoneticPr fontId="1"/>
  </si>
  <si>
    <t>桁あふれが起こる演算でも処理出来る</t>
    <rPh sb="0" eb="1">
      <t>ケタ</t>
    </rPh>
    <rPh sb="5" eb="6">
      <t>オ</t>
    </rPh>
    <rPh sb="8" eb="10">
      <t>エンザン</t>
    </rPh>
    <rPh sb="12" eb="14">
      <t>ショリ</t>
    </rPh>
    <rPh sb="14" eb="16">
      <t>デキ</t>
    </rPh>
    <phoneticPr fontId="1"/>
  </si>
  <si>
    <t>3の27乗</t>
    <rPh sb="4" eb="5">
      <t>ジョウ</t>
    </rPh>
    <phoneticPr fontId="1"/>
  </si>
  <si>
    <t>3^27</t>
    <phoneticPr fontId="1"/>
  </si>
  <si>
    <t>3の100乗</t>
    <rPh sb="5" eb="6">
      <t>ジョウ</t>
    </rPh>
    <phoneticPr fontId="1"/>
  </si>
  <si>
    <t>3^100</t>
    <phoneticPr fontId="1"/>
  </si>
  <si>
    <t>n = 33 の時</t>
    <rPh sb="8" eb="9">
      <t>トキ</t>
    </rPh>
    <phoneticPr fontId="1"/>
  </si>
  <si>
    <t>(3^10)^10</t>
    <phoneticPr fontId="1"/>
  </si>
  <si>
    <t>3の10乗</t>
    <rPh sb="4" eb="5">
      <t>ジョウ</t>
    </rPh>
    <phoneticPr fontId="1"/>
  </si>
  <si>
    <t>3^10</t>
    <phoneticPr fontId="1"/>
  </si>
  <si>
    <t>12の10乗</t>
    <rPh sb="5" eb="6">
      <t>ジョウ</t>
    </rPh>
    <phoneticPr fontId="1"/>
  </si>
  <si>
    <t>12^10</t>
    <phoneticPr fontId="1"/>
  </si>
  <si>
    <t>4の10乗</t>
    <rPh sb="4" eb="5">
      <t>ジョウ</t>
    </rPh>
    <phoneticPr fontId="1"/>
  </si>
  <si>
    <t>4^10</t>
    <phoneticPr fontId="1"/>
  </si>
  <si>
    <t>また3-1　と　11-1　の積　20　と　「互いに素」となる数値を選ぶ</t>
    <rPh sb="14" eb="15">
      <t>セキ</t>
    </rPh>
    <rPh sb="22" eb="23">
      <t>タガ</t>
    </rPh>
    <rPh sb="25" eb="26">
      <t>ソ</t>
    </rPh>
    <rPh sb="30" eb="32">
      <t>スウチ</t>
    </rPh>
    <rPh sb="33" eb="34">
      <t>エラ</t>
    </rPh>
    <phoneticPr fontId="1"/>
  </si>
  <si>
    <t>3、7、9、11、13、17、19</t>
    <phoneticPr fontId="1"/>
  </si>
  <si>
    <t>素数3と素数11の積である33を公開キー(素数の積)とする</t>
    <rPh sb="0" eb="2">
      <t>ソスウ</t>
    </rPh>
    <rPh sb="4" eb="6">
      <t>ソスウ</t>
    </rPh>
    <rPh sb="9" eb="10">
      <t>セキ</t>
    </rPh>
    <rPh sb="16" eb="18">
      <t>コウカイ</t>
    </rPh>
    <rPh sb="21" eb="23">
      <t>ソスウ</t>
    </rPh>
    <rPh sb="24" eb="25">
      <t>セキ</t>
    </rPh>
    <phoneticPr fontId="1"/>
  </si>
  <si>
    <t>3(素数の積33から関連付けられた数)</t>
    <rPh sb="2" eb="4">
      <t>ソスウ</t>
    </rPh>
    <rPh sb="5" eb="6">
      <t>セキ</t>
    </rPh>
    <rPh sb="10" eb="13">
      <t>カンレンヅ</t>
    </rPh>
    <rPh sb="17" eb="18">
      <t>スウ</t>
    </rPh>
    <phoneticPr fontId="1"/>
  </si>
  <si>
    <t>秘密キーdの求め方</t>
    <rPh sb="0" eb="2">
      <t>ヒミツ</t>
    </rPh>
    <rPh sb="6" eb="7">
      <t>モト</t>
    </rPh>
    <rPh sb="8" eb="9">
      <t>カタ</t>
    </rPh>
    <phoneticPr fontId="1"/>
  </si>
  <si>
    <t>3*d mod 20 = 1 となるｄを求める</t>
    <rPh sb="20" eb="21">
      <t>モト</t>
    </rPh>
    <phoneticPr fontId="1"/>
  </si>
  <si>
    <t>この3を、公開キーe=3、n=33　と関連付けられた、秘密キーd(この時は7となる)を利用して</t>
    <rPh sb="5" eb="7">
      <t>コウカイ</t>
    </rPh>
    <rPh sb="19" eb="21">
      <t>カンレン</t>
    </rPh>
    <rPh sb="21" eb="22">
      <t>ヅ</t>
    </rPh>
    <rPh sb="27" eb="29">
      <t>ヒミツ</t>
    </rPh>
    <rPh sb="35" eb="36">
      <t>トキ</t>
    </rPh>
    <rPh sb="43" eb="45">
      <t>リヨウ</t>
    </rPh>
    <phoneticPr fontId="1"/>
  </si>
  <si>
    <t>3を7乗して、33　で割った余りが元の数値となります</t>
    <rPh sb="3" eb="4">
      <t>ジョウ</t>
    </rPh>
    <rPh sb="11" eb="12">
      <t>ワ</t>
    </rPh>
    <rPh sb="14" eb="15">
      <t>アマ</t>
    </rPh>
    <rPh sb="17" eb="18">
      <t>モト</t>
    </rPh>
    <rPh sb="19" eb="21">
      <t>スウチ</t>
    </rPh>
    <phoneticPr fontId="1"/>
  </si>
  <si>
    <t>(3^7 =2187を33 で割ると 余り9)</t>
    <rPh sb="15" eb="16">
      <t>ワ</t>
    </rPh>
    <rPh sb="19" eb="20">
      <t>アマ</t>
    </rPh>
    <phoneticPr fontId="1"/>
  </si>
  <si>
    <t>e</t>
    <phoneticPr fontId="1"/>
  </si>
  <si>
    <t>d</t>
    <phoneticPr fontId="1"/>
  </si>
  <si>
    <t>3と7の積</t>
    <rPh sb="4" eb="5">
      <t>セキ</t>
    </rPh>
    <phoneticPr fontId="1"/>
  </si>
  <si>
    <t>13と17の積</t>
    <rPh sb="6" eb="7">
      <t>セキ</t>
    </rPh>
    <phoneticPr fontId="1"/>
  </si>
  <si>
    <t>公開キーで変換</t>
    <rPh sb="0" eb="2">
      <t>コウカイ</t>
    </rPh>
    <rPh sb="5" eb="7">
      <t>ヘンカン</t>
    </rPh>
    <phoneticPr fontId="1"/>
  </si>
  <si>
    <t>33までの任意の値</t>
    <rPh sb="5" eb="7">
      <t>ニンイ</t>
    </rPh>
    <rPh sb="8" eb="9">
      <t>アタイ</t>
    </rPh>
    <phoneticPr fontId="1"/>
  </si>
  <si>
    <t>秘密キーで変換</t>
    <rPh sb="0" eb="2">
      <t>ヒミツ</t>
    </rPh>
    <rPh sb="5" eb="7">
      <t>ヘンカン</t>
    </rPh>
    <phoneticPr fontId="1"/>
  </si>
  <si>
    <t>公開キーをe、n=p*qとし、ｄを秘密キーとすると</t>
    <rPh sb="0" eb="2">
      <t>コウカイ</t>
    </rPh>
    <rPh sb="17" eb="19">
      <t>ヒミツ</t>
    </rPh>
    <phoneticPr fontId="1"/>
  </si>
  <si>
    <t>e mod(p-1)*(q-1) =1</t>
    <phoneticPr fontId="1"/>
  </si>
  <si>
    <t>e*d mod(p-1)*(q-1) = 1</t>
    <phoneticPr fontId="1"/>
  </si>
  <si>
    <r>
      <t>aを0&lt;a</t>
    </r>
    <r>
      <rPr>
        <sz val="11"/>
        <color theme="1"/>
        <rFont val="游ゴシック"/>
        <family val="2"/>
        <charset val="128"/>
      </rPr>
      <t>≦</t>
    </r>
    <r>
      <rPr>
        <sz val="11"/>
        <color theme="1"/>
        <rFont val="游ゴシック"/>
        <family val="2"/>
        <charset val="128"/>
        <scheme val="minor"/>
      </rPr>
      <t>のn任意の数とすると</t>
    </r>
    <rPh sb="8" eb="10">
      <t>ニンイ</t>
    </rPh>
    <rPh sb="11" eb="12">
      <t>スウ</t>
    </rPh>
    <phoneticPr fontId="1"/>
  </si>
  <si>
    <t>秘密キーにより、a´= b^d mod n ・・・②となるため　a´= a となることを証明すればよい</t>
    <rPh sb="0" eb="2">
      <t>ヒミツ</t>
    </rPh>
    <rPh sb="44" eb="46">
      <t>ショウメイ</t>
    </rPh>
    <phoneticPr fontId="1"/>
  </si>
  <si>
    <t>公開キーeにより、aを暗号化するとb=a^e mod n・・・①となる</t>
    <rPh sb="0" eb="2">
      <t>コウカイ</t>
    </rPh>
    <rPh sb="11" eb="14">
      <t>アンゴウカ</t>
    </rPh>
    <phoneticPr fontId="1"/>
  </si>
  <si>
    <t>e*d mod(p-1)*(q-1) = 1 より e*d = (p-1)*(q-1)*L +1 となる</t>
    <phoneticPr fontId="1"/>
  </si>
  <si>
    <t>①、②より a´= b^d mod n = a^(e*d) mod n = a^(e*d) mod p*q</t>
    <phoneticPr fontId="1"/>
  </si>
  <si>
    <t>フェルマーの小定理より1となる</t>
    <rPh sb="6" eb="7">
      <t>ショウ</t>
    </rPh>
    <rPh sb="7" eb="9">
      <t>テイリ</t>
    </rPh>
    <phoneticPr fontId="1"/>
  </si>
  <si>
    <r>
      <t>a^((p-1)*(q-1)*L +1) mod p*q = a^((p-1)*(q-1)*L +1) mod p*q = (</t>
    </r>
    <r>
      <rPr>
        <sz val="11"/>
        <color rgb="FFFF0000"/>
        <rFont val="游ゴシック"/>
        <family val="3"/>
        <charset val="128"/>
        <scheme val="minor"/>
      </rPr>
      <t>a^((p-1)*(q-1)) mod p*q</t>
    </r>
    <r>
      <rPr>
        <sz val="11"/>
        <color theme="1"/>
        <rFont val="游ゴシック"/>
        <family val="2"/>
        <charset val="128"/>
        <scheme val="minor"/>
      </rPr>
      <t>) *(a^1) mod p*q = a</t>
    </r>
    <phoneticPr fontId="1"/>
  </si>
  <si>
    <t>下記は証明</t>
    <rPh sb="0" eb="2">
      <t>カキ</t>
    </rPh>
    <rPh sb="3" eb="5">
      <t>ショウメイ</t>
    </rPh>
    <phoneticPr fontId="1"/>
  </si>
  <si>
    <r>
      <rPr>
        <sz val="11"/>
        <color rgb="FF202122"/>
        <rFont val="游ゴシック"/>
        <family val="3"/>
        <charset val="128"/>
      </rPr>
      <t>離散的楕円曲線の例：</t>
    </r>
    <r>
      <rPr>
        <sz val="11"/>
        <color rgb="FF202122"/>
        <rFont val="Arial"/>
        <family val="3"/>
        <charset val="128"/>
      </rPr>
      <t xml:space="preserve"> </t>
    </r>
    <r>
      <rPr>
        <sz val="11"/>
        <color rgb="FF202122"/>
        <rFont val="游ゴシック"/>
        <family val="3"/>
        <charset val="128"/>
      </rPr>
      <t>有限体</t>
    </r>
    <r>
      <rPr>
        <sz val="11"/>
        <color rgb="FF202122"/>
        <rFont val="Arial"/>
        <family val="3"/>
        <charset val="128"/>
      </rPr>
      <t> F61 </t>
    </r>
    <r>
      <rPr>
        <sz val="11"/>
        <color rgb="FF202122"/>
        <rFont val="游ゴシック"/>
        <family val="3"/>
        <charset val="128"/>
      </rPr>
      <t>上の楕円曲線</t>
    </r>
    <r>
      <rPr>
        <sz val="11"/>
        <color rgb="FF202122"/>
        <rFont val="Arial"/>
        <family val="3"/>
        <charset val="128"/>
      </rPr>
      <t> y2 = x3 </t>
    </r>
    <r>
      <rPr>
        <sz val="11"/>
        <color rgb="FF202122"/>
        <rFont val="Cambria Math"/>
        <family val="3"/>
      </rPr>
      <t>−</t>
    </r>
    <r>
      <rPr>
        <sz val="11"/>
        <color rgb="FF202122"/>
        <rFont val="Arial"/>
        <family val="3"/>
        <charset val="128"/>
      </rPr>
      <t> x</t>
    </r>
    <phoneticPr fontId="1"/>
  </si>
  <si>
    <t xml:space="preserve">MOD(Y^2) </t>
    <phoneticPr fontId="1"/>
  </si>
  <si>
    <t>-Y</t>
    <phoneticPr fontId="1"/>
  </si>
  <si>
    <r>
      <t>実数上の楕円関数(例としてY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=X</t>
    </r>
    <r>
      <rPr>
        <vertAlign val="superscript"/>
        <sz val="11"/>
        <color theme="1"/>
        <rFont val="游ゴシック"/>
        <family val="3"/>
        <charset val="128"/>
        <scheme val="minor"/>
      </rPr>
      <t>3</t>
    </r>
    <r>
      <rPr>
        <sz val="11"/>
        <color theme="1"/>
        <rFont val="游ゴシック"/>
        <family val="2"/>
        <charset val="128"/>
        <scheme val="minor"/>
      </rPr>
      <t>-XにおいてＸ=-1から10までの値(0.1増)をプロット)</t>
    </r>
    <rPh sb="0" eb="2">
      <t>ジッスウ</t>
    </rPh>
    <rPh sb="2" eb="3">
      <t>ジョウ</t>
    </rPh>
    <rPh sb="4" eb="6">
      <t>ダエン</t>
    </rPh>
    <rPh sb="6" eb="8">
      <t>カンスウ</t>
    </rPh>
    <rPh sb="9" eb="10">
      <t>レイ</t>
    </rPh>
    <rPh sb="35" eb="36">
      <t>チ</t>
    </rPh>
    <rPh sb="40" eb="41">
      <t>ゾウ</t>
    </rPh>
    <phoneticPr fontId="1"/>
  </si>
  <si>
    <t>2G</t>
    <phoneticPr fontId="1"/>
  </si>
  <si>
    <t>φ</t>
    <phoneticPr fontId="1"/>
  </si>
  <si>
    <t>Ψ</t>
    <phoneticPr fontId="1"/>
  </si>
  <si>
    <t>x3</t>
    <phoneticPr fontId="1"/>
  </si>
  <si>
    <t>y3</t>
    <phoneticPr fontId="1"/>
  </si>
  <si>
    <t>■剰余系とは</t>
    <phoneticPr fontId="1"/>
  </si>
  <si>
    <t>※そのまま計算すると桁があふれて演算が出来ない</t>
    <rPh sb="5" eb="7">
      <t>ケイサン</t>
    </rPh>
    <rPh sb="10" eb="11">
      <t>ケタ</t>
    </rPh>
    <rPh sb="16" eb="18">
      <t>エンザン</t>
    </rPh>
    <rPh sb="19" eb="21">
      <t>デキ</t>
    </rPh>
    <phoneticPr fontId="1"/>
  </si>
  <si>
    <t>※3の10乗のmodを計算する</t>
    <rPh sb="5" eb="6">
      <t>ジョウ</t>
    </rPh>
    <rPh sb="11" eb="13">
      <t>ケイサン</t>
    </rPh>
    <phoneticPr fontId="1"/>
  </si>
  <si>
    <t>※3の10乗のmodを更に10乗してmodを取る</t>
    <rPh sb="5" eb="6">
      <t>ジョウ</t>
    </rPh>
    <rPh sb="11" eb="12">
      <t>サラ</t>
    </rPh>
    <rPh sb="15" eb="16">
      <t>ジョウ</t>
    </rPh>
    <rPh sb="22" eb="23">
      <t>ト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</si>
</sst>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vertAlign val="superscript"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rgb="FF202122"/>
      <name val="Arial"/>
      <family val="2"/>
    </font>
    <font>
      <sz val="11"/>
      <color rgb="FF202122"/>
      <name val="Arial"/>
      <family val="3"/>
      <charset val="128"/>
    </font>
    <font>
      <sz val="11"/>
      <color theme="1"/>
      <name val="游ゴシック"/>
      <family val="2"/>
      <charset val="128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rgb="FF202122"/>
      <name val="游ゴシック"/>
      <family val="3"/>
      <charset val="128"/>
    </font>
    <font>
      <sz val="11"/>
      <color rgb="FF202122"/>
      <name val="Cambria Math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0" borderId="0" xfId="1">
      <alignment vertical="center"/>
    </xf>
    <xf numFmtId="0" fontId="4" fillId="0" borderId="0" xfId="0" applyFont="1">
      <alignment vertical="center"/>
    </xf>
    <xf numFmtId="0" fontId="0" fillId="0" borderId="0" xfId="0" applyFill="1">
      <alignment vertical="center"/>
    </xf>
    <xf numFmtId="0" fontId="0" fillId="0" borderId="1" xfId="0" applyBorder="1">
      <alignment vertical="center"/>
    </xf>
    <xf numFmtId="0" fontId="0" fillId="0" borderId="0" xfId="0" quotePrefix="1">
      <alignment vertical="center"/>
    </xf>
    <xf numFmtId="176" fontId="0" fillId="0" borderId="0" xfId="0" applyNumberFormat="1">
      <alignment vertical="center"/>
    </xf>
    <xf numFmtId="0" fontId="0" fillId="0" borderId="2" xfId="0" applyBorder="1">
      <alignment vertical="center"/>
    </xf>
    <xf numFmtId="176" fontId="0" fillId="0" borderId="2" xfId="0" applyNumberFormat="1" applyBorder="1">
      <alignment vertical="center"/>
    </xf>
    <xf numFmtId="0" fontId="7" fillId="0" borderId="0" xfId="0" applyFont="1">
      <alignment vertical="center"/>
    </xf>
    <xf numFmtId="0" fontId="0" fillId="0" borderId="0" xfId="0" applyAlignment="1">
      <alignment horizontal="left" vertical="top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Fill="1">
      <alignment vertical="center"/>
    </xf>
    <xf numFmtId="176" fontId="7" fillId="0" borderId="0" xfId="0" applyNumberFormat="1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楕円!$C$2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楕円!$B$3:$B$63</c:f>
              <c:numCache>
                <c:formatCode>General</c:formatCode>
                <c:ptCount val="6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  <c:pt idx="21">
                  <c:v>1.1000000000000001</c:v>
                </c:pt>
                <c:pt idx="22">
                  <c:v>1.2</c:v>
                </c:pt>
                <c:pt idx="23">
                  <c:v>1.3</c:v>
                </c:pt>
                <c:pt idx="24">
                  <c:v>1.4</c:v>
                </c:pt>
                <c:pt idx="25">
                  <c:v>1.5</c:v>
                </c:pt>
                <c:pt idx="26">
                  <c:v>1.6</c:v>
                </c:pt>
                <c:pt idx="27">
                  <c:v>1.7</c:v>
                </c:pt>
                <c:pt idx="28">
                  <c:v>1.8</c:v>
                </c:pt>
                <c:pt idx="29">
                  <c:v>1.9</c:v>
                </c:pt>
                <c:pt idx="30">
                  <c:v>2</c:v>
                </c:pt>
                <c:pt idx="31">
                  <c:v>2.1</c:v>
                </c:pt>
                <c:pt idx="32">
                  <c:v>2.2000000000000002</c:v>
                </c:pt>
                <c:pt idx="33">
                  <c:v>2.2999999999999998</c:v>
                </c:pt>
                <c:pt idx="34">
                  <c:v>2.4</c:v>
                </c:pt>
                <c:pt idx="35">
                  <c:v>2.5</c:v>
                </c:pt>
                <c:pt idx="36">
                  <c:v>2.6</c:v>
                </c:pt>
                <c:pt idx="37">
                  <c:v>2.7</c:v>
                </c:pt>
                <c:pt idx="38">
                  <c:v>2.8</c:v>
                </c:pt>
                <c:pt idx="39">
                  <c:v>2.9</c:v>
                </c:pt>
                <c:pt idx="40">
                  <c:v>3</c:v>
                </c:pt>
                <c:pt idx="41">
                  <c:v>3.1</c:v>
                </c:pt>
                <c:pt idx="42">
                  <c:v>3.2</c:v>
                </c:pt>
                <c:pt idx="43">
                  <c:v>3.3</c:v>
                </c:pt>
                <c:pt idx="44">
                  <c:v>3.4</c:v>
                </c:pt>
                <c:pt idx="45">
                  <c:v>3.5</c:v>
                </c:pt>
                <c:pt idx="46">
                  <c:v>3.6</c:v>
                </c:pt>
                <c:pt idx="47">
                  <c:v>3.7</c:v>
                </c:pt>
                <c:pt idx="48">
                  <c:v>3.8</c:v>
                </c:pt>
                <c:pt idx="49">
                  <c:v>3.9</c:v>
                </c:pt>
                <c:pt idx="50">
                  <c:v>4</c:v>
                </c:pt>
                <c:pt idx="51">
                  <c:v>4.0999999999999996</c:v>
                </c:pt>
                <c:pt idx="52">
                  <c:v>4.2</c:v>
                </c:pt>
                <c:pt idx="53">
                  <c:v>4.3</c:v>
                </c:pt>
                <c:pt idx="54">
                  <c:v>4.4000000000000004</c:v>
                </c:pt>
                <c:pt idx="55">
                  <c:v>4.5</c:v>
                </c:pt>
                <c:pt idx="56">
                  <c:v>4.5999999999999996</c:v>
                </c:pt>
                <c:pt idx="57">
                  <c:v>4.7</c:v>
                </c:pt>
                <c:pt idx="58">
                  <c:v>4.8</c:v>
                </c:pt>
                <c:pt idx="59">
                  <c:v>4.9000000000000004</c:v>
                </c:pt>
                <c:pt idx="60">
                  <c:v>5</c:v>
                </c:pt>
              </c:numCache>
            </c:numRef>
          </c:cat>
          <c:val>
            <c:numRef>
              <c:f>楕円!$C$3:$C$63</c:f>
              <c:numCache>
                <c:formatCode>General</c:formatCode>
                <c:ptCount val="61"/>
                <c:pt idx="0">
                  <c:v>0</c:v>
                </c:pt>
                <c:pt idx="1">
                  <c:v>0.41352146256270655</c:v>
                </c:pt>
                <c:pt idx="2">
                  <c:v>0.53665631459994945</c:v>
                </c:pt>
                <c:pt idx="3">
                  <c:v>0.59749476985158623</c:v>
                </c:pt>
                <c:pt idx="4">
                  <c:v>0.6196773353931867</c:v>
                </c:pt>
                <c:pt idx="5">
                  <c:v>0.61237243569579447</c:v>
                </c:pt>
                <c:pt idx="6">
                  <c:v>0.57965506984757753</c:v>
                </c:pt>
                <c:pt idx="7">
                  <c:v>0.5224940191045252</c:v>
                </c:pt>
                <c:pt idx="8">
                  <c:v>0.4381780460041329</c:v>
                </c:pt>
                <c:pt idx="9">
                  <c:v>0.31464265445104544</c:v>
                </c:pt>
                <c:pt idx="10">
                  <c:v>0</c:v>
                </c:pt>
                <c:pt idx="20">
                  <c:v>0</c:v>
                </c:pt>
                <c:pt idx="21">
                  <c:v>0.48062459362791699</c:v>
                </c:pt>
                <c:pt idx="22">
                  <c:v>0.72663608498339805</c:v>
                </c:pt>
                <c:pt idx="23">
                  <c:v>0.94710083940412626</c:v>
                </c:pt>
                <c:pt idx="24">
                  <c:v>1.1593101396951548</c:v>
                </c:pt>
                <c:pt idx="25">
                  <c:v>1.3693063937629153</c:v>
                </c:pt>
                <c:pt idx="26">
                  <c:v>1.5798734126505203</c:v>
                </c:pt>
                <c:pt idx="27">
                  <c:v>1.7924843095547585</c:v>
                </c:pt>
                <c:pt idx="28">
                  <c:v>2.0079840636817816</c:v>
                </c:pt>
                <c:pt idx="29">
                  <c:v>2.2268812271874761</c:v>
                </c:pt>
                <c:pt idx="30">
                  <c:v>2.4494897427831779</c:v>
                </c:pt>
                <c:pt idx="31">
                  <c:v>2.6760044843011759</c:v>
                </c:pt>
                <c:pt idx="32">
                  <c:v>2.9065443399335926</c:v>
                </c:pt>
                <c:pt idx="33">
                  <c:v>3.1411781229341322</c:v>
                </c:pt>
                <c:pt idx="34">
                  <c:v>3.3799408278844174</c:v>
                </c:pt>
                <c:pt idx="35">
                  <c:v>3.6228441865473595</c:v>
                </c:pt>
                <c:pt idx="36">
                  <c:v>3.8698837191833042</c:v>
                </c:pt>
                <c:pt idx="37">
                  <c:v>4.121043557158794</c:v>
                </c:pt>
                <c:pt idx="38">
                  <c:v>4.3762998069145116</c:v>
                </c:pt>
                <c:pt idx="39">
                  <c:v>4.6356229354855856</c:v>
                </c:pt>
                <c:pt idx="40">
                  <c:v>4.8989794855663558</c:v>
                </c:pt>
                <c:pt idx="41">
                  <c:v>5.1663333225799519</c:v>
                </c:pt>
                <c:pt idx="42">
                  <c:v>5.4376465497492577</c:v>
                </c:pt>
                <c:pt idx="43">
                  <c:v>5.7128801842853312</c:v>
                </c:pt>
                <c:pt idx="44">
                  <c:v>5.991994659543681</c:v>
                </c:pt>
                <c:pt idx="45">
                  <c:v>6.2749501990055663</c:v>
                </c:pt>
                <c:pt idx="46">
                  <c:v>6.5617070949563123</c:v>
                </c:pt>
                <c:pt idx="47">
                  <c:v>6.8522259157152723</c:v>
                </c:pt>
                <c:pt idx="48">
                  <c:v>7.1464676589207343</c:v>
                </c:pt>
                <c:pt idx="49">
                  <c:v>7.4443938638414338</c:v>
                </c:pt>
                <c:pt idx="50">
                  <c:v>7.745966692414834</c:v>
                </c:pt>
                <c:pt idx="51">
                  <c:v>8.0511489863248702</c:v>
                </c:pt>
                <c:pt idx="52">
                  <c:v>8.3599043056724049</c:v>
                </c:pt>
                <c:pt idx="53">
                  <c:v>8.6721969534830095</c:v>
                </c:pt>
                <c:pt idx="54">
                  <c:v>8.9879919893155229</c:v>
                </c:pt>
                <c:pt idx="55">
                  <c:v>9.3072552344931427</c:v>
                </c:pt>
                <c:pt idx="56">
                  <c:v>9.62995327091466</c:v>
                </c:pt>
                <c:pt idx="57">
                  <c:v>9.9560534349711087</c:v>
                </c:pt>
                <c:pt idx="58">
                  <c:v>10.285523807760109</c:v>
                </c:pt>
                <c:pt idx="59">
                  <c:v>10.618333202532309</c:v>
                </c:pt>
                <c:pt idx="60">
                  <c:v>10.954451150103322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44-4F46-B534-F79D504E1453}"/>
            </c:ext>
          </c:extLst>
        </c:ser>
        <c:ser>
          <c:idx val="1"/>
          <c:order val="1"/>
          <c:tx>
            <c:strRef>
              <c:f>楕円!$G$2</c:f>
              <c:strCache>
                <c:ptCount val="1"/>
                <c:pt idx="0">
                  <c:v>-Y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楕円!$B$3:$B$63</c:f>
              <c:numCache>
                <c:formatCode>General</c:formatCode>
                <c:ptCount val="6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  <c:pt idx="21">
                  <c:v>1.1000000000000001</c:v>
                </c:pt>
                <c:pt idx="22">
                  <c:v>1.2</c:v>
                </c:pt>
                <c:pt idx="23">
                  <c:v>1.3</c:v>
                </c:pt>
                <c:pt idx="24">
                  <c:v>1.4</c:v>
                </c:pt>
                <c:pt idx="25">
                  <c:v>1.5</c:v>
                </c:pt>
                <c:pt idx="26">
                  <c:v>1.6</c:v>
                </c:pt>
                <c:pt idx="27">
                  <c:v>1.7</c:v>
                </c:pt>
                <c:pt idx="28">
                  <c:v>1.8</c:v>
                </c:pt>
                <c:pt idx="29">
                  <c:v>1.9</c:v>
                </c:pt>
                <c:pt idx="30">
                  <c:v>2</c:v>
                </c:pt>
                <c:pt idx="31">
                  <c:v>2.1</c:v>
                </c:pt>
                <c:pt idx="32">
                  <c:v>2.2000000000000002</c:v>
                </c:pt>
                <c:pt idx="33">
                  <c:v>2.2999999999999998</c:v>
                </c:pt>
                <c:pt idx="34">
                  <c:v>2.4</c:v>
                </c:pt>
                <c:pt idx="35">
                  <c:v>2.5</c:v>
                </c:pt>
                <c:pt idx="36">
                  <c:v>2.6</c:v>
                </c:pt>
                <c:pt idx="37">
                  <c:v>2.7</c:v>
                </c:pt>
                <c:pt idx="38">
                  <c:v>2.8</c:v>
                </c:pt>
                <c:pt idx="39">
                  <c:v>2.9</c:v>
                </c:pt>
                <c:pt idx="40">
                  <c:v>3</c:v>
                </c:pt>
                <c:pt idx="41">
                  <c:v>3.1</c:v>
                </c:pt>
                <c:pt idx="42">
                  <c:v>3.2</c:v>
                </c:pt>
                <c:pt idx="43">
                  <c:v>3.3</c:v>
                </c:pt>
                <c:pt idx="44">
                  <c:v>3.4</c:v>
                </c:pt>
                <c:pt idx="45">
                  <c:v>3.5</c:v>
                </c:pt>
                <c:pt idx="46">
                  <c:v>3.6</c:v>
                </c:pt>
                <c:pt idx="47">
                  <c:v>3.7</c:v>
                </c:pt>
                <c:pt idx="48">
                  <c:v>3.8</c:v>
                </c:pt>
                <c:pt idx="49">
                  <c:v>3.9</c:v>
                </c:pt>
                <c:pt idx="50">
                  <c:v>4</c:v>
                </c:pt>
                <c:pt idx="51">
                  <c:v>4.0999999999999996</c:v>
                </c:pt>
                <c:pt idx="52">
                  <c:v>4.2</c:v>
                </c:pt>
                <c:pt idx="53">
                  <c:v>4.3</c:v>
                </c:pt>
                <c:pt idx="54">
                  <c:v>4.4000000000000004</c:v>
                </c:pt>
                <c:pt idx="55">
                  <c:v>4.5</c:v>
                </c:pt>
                <c:pt idx="56">
                  <c:v>4.5999999999999996</c:v>
                </c:pt>
                <c:pt idx="57">
                  <c:v>4.7</c:v>
                </c:pt>
                <c:pt idx="58">
                  <c:v>4.8</c:v>
                </c:pt>
                <c:pt idx="59">
                  <c:v>4.9000000000000004</c:v>
                </c:pt>
                <c:pt idx="60">
                  <c:v>5</c:v>
                </c:pt>
              </c:numCache>
            </c:numRef>
          </c:cat>
          <c:val>
            <c:numRef>
              <c:f>楕円!$G$3:$G$63</c:f>
              <c:numCache>
                <c:formatCode>General</c:formatCode>
                <c:ptCount val="61"/>
                <c:pt idx="0">
                  <c:v>0</c:v>
                </c:pt>
                <c:pt idx="1">
                  <c:v>-0.41352146256270655</c:v>
                </c:pt>
                <c:pt idx="2">
                  <c:v>-0.53665631459994945</c:v>
                </c:pt>
                <c:pt idx="3">
                  <c:v>-0.59749476985158623</c:v>
                </c:pt>
                <c:pt idx="4">
                  <c:v>-0.6196773353931867</c:v>
                </c:pt>
                <c:pt idx="5">
                  <c:v>-0.61237243569579447</c:v>
                </c:pt>
                <c:pt idx="6">
                  <c:v>-0.57965506984757753</c:v>
                </c:pt>
                <c:pt idx="7">
                  <c:v>-0.5224940191045252</c:v>
                </c:pt>
                <c:pt idx="8">
                  <c:v>-0.4381780460041329</c:v>
                </c:pt>
                <c:pt idx="9">
                  <c:v>-0.31464265445104544</c:v>
                </c:pt>
                <c:pt idx="10">
                  <c:v>0</c:v>
                </c:pt>
                <c:pt idx="20">
                  <c:v>0</c:v>
                </c:pt>
                <c:pt idx="21">
                  <c:v>-0.48062459362791699</c:v>
                </c:pt>
                <c:pt idx="22">
                  <c:v>-0.72663608498339805</c:v>
                </c:pt>
                <c:pt idx="23">
                  <c:v>-0.94710083940412626</c:v>
                </c:pt>
                <c:pt idx="24">
                  <c:v>-1.1593101396951548</c:v>
                </c:pt>
                <c:pt idx="25">
                  <c:v>-1.3693063937629153</c:v>
                </c:pt>
                <c:pt idx="26">
                  <c:v>-1.5798734126505203</c:v>
                </c:pt>
                <c:pt idx="27">
                  <c:v>-1.7924843095547585</c:v>
                </c:pt>
                <c:pt idx="28">
                  <c:v>-2.0079840636817816</c:v>
                </c:pt>
                <c:pt idx="29">
                  <c:v>-2.2268812271874761</c:v>
                </c:pt>
                <c:pt idx="30">
                  <c:v>-2.4494897427831779</c:v>
                </c:pt>
                <c:pt idx="31">
                  <c:v>-2.6760044843011759</c:v>
                </c:pt>
                <c:pt idx="32">
                  <c:v>-2.9065443399335926</c:v>
                </c:pt>
                <c:pt idx="33">
                  <c:v>-3.1411781229341322</c:v>
                </c:pt>
                <c:pt idx="34">
                  <c:v>-3.3799408278844174</c:v>
                </c:pt>
                <c:pt idx="35">
                  <c:v>-3.6228441865473595</c:v>
                </c:pt>
                <c:pt idx="36">
                  <c:v>-3.8698837191833042</c:v>
                </c:pt>
                <c:pt idx="37">
                  <c:v>-4.121043557158794</c:v>
                </c:pt>
                <c:pt idx="38">
                  <c:v>-4.3762998069145116</c:v>
                </c:pt>
                <c:pt idx="39">
                  <c:v>-4.6356229354855856</c:v>
                </c:pt>
                <c:pt idx="40">
                  <c:v>-4.8989794855663558</c:v>
                </c:pt>
                <c:pt idx="41">
                  <c:v>-5.1663333225799519</c:v>
                </c:pt>
                <c:pt idx="42">
                  <c:v>-5.4376465497492577</c:v>
                </c:pt>
                <c:pt idx="43">
                  <c:v>-5.7128801842853312</c:v>
                </c:pt>
                <c:pt idx="44">
                  <c:v>-5.991994659543681</c:v>
                </c:pt>
                <c:pt idx="45">
                  <c:v>-6.2749501990055663</c:v>
                </c:pt>
                <c:pt idx="46">
                  <c:v>-6.5617070949563123</c:v>
                </c:pt>
                <c:pt idx="47">
                  <c:v>-6.8522259157152723</c:v>
                </c:pt>
                <c:pt idx="48">
                  <c:v>-7.1464676589207343</c:v>
                </c:pt>
                <c:pt idx="49">
                  <c:v>-7.4443938638414338</c:v>
                </c:pt>
                <c:pt idx="50">
                  <c:v>-7.745966692414834</c:v>
                </c:pt>
                <c:pt idx="51">
                  <c:v>-8.0511489863248702</c:v>
                </c:pt>
                <c:pt idx="52">
                  <c:v>-8.3599043056724049</c:v>
                </c:pt>
                <c:pt idx="53">
                  <c:v>-8.6721969534830095</c:v>
                </c:pt>
                <c:pt idx="54">
                  <c:v>-8.9879919893155229</c:v>
                </c:pt>
                <c:pt idx="55">
                  <c:v>-9.3072552344931427</c:v>
                </c:pt>
                <c:pt idx="56">
                  <c:v>-9.62995327091466</c:v>
                </c:pt>
                <c:pt idx="57">
                  <c:v>-9.9560534349711087</c:v>
                </c:pt>
                <c:pt idx="58">
                  <c:v>-10.285523807760109</c:v>
                </c:pt>
                <c:pt idx="59">
                  <c:v>-10.618333202532309</c:v>
                </c:pt>
                <c:pt idx="60">
                  <c:v>-10.954451150103322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44-4F46-B534-F79D504E1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3094511"/>
        <c:axId val="1863094991"/>
      </c:lineChart>
      <c:catAx>
        <c:axId val="186309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63094991"/>
        <c:crosses val="autoZero"/>
        <c:auto val="1"/>
        <c:lblAlgn val="ctr"/>
        <c:lblOffset val="100"/>
        <c:tickLblSkip val="10"/>
        <c:noMultiLvlLbl val="0"/>
      </c:catAx>
      <c:valAx>
        <c:axId val="1863094991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63094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'楕円 (離散化)'!$D$71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dPt>
            <c:idx val="47"/>
            <c:marker>
              <c:symbol val="circle"/>
              <c:size val="5"/>
              <c:spPr>
                <a:noFill/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144-4E55-93E5-F92E88BBCD34}"/>
              </c:ext>
            </c:extLst>
          </c:dPt>
          <c:xVal>
            <c:numRef>
              <c:f>'楕円 (離散化)'!$C$72:$C$132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'楕円 (離散化)'!$D$72:$D$132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4">
                  <c:v>11</c:v>
                </c:pt>
                <c:pt idx="6">
                  <c:v>24</c:v>
                </c:pt>
                <c:pt idx="8">
                  <c:v>4</c:v>
                </c:pt>
                <c:pt idx="9">
                  <c:v>7</c:v>
                </c:pt>
                <c:pt idx="10">
                  <c:v>21</c:v>
                </c:pt>
                <c:pt idx="11">
                  <c:v>10</c:v>
                </c:pt>
                <c:pt idx="13">
                  <c:v>7</c:v>
                </c:pt>
                <c:pt idx="14">
                  <c:v>30</c:v>
                </c:pt>
                <c:pt idx="15">
                  <c:v>26</c:v>
                </c:pt>
                <c:pt idx="17">
                  <c:v>4</c:v>
                </c:pt>
                <c:pt idx="18">
                  <c:v>18</c:v>
                </c:pt>
                <c:pt idx="22">
                  <c:v>16</c:v>
                </c:pt>
                <c:pt idx="23">
                  <c:v>26</c:v>
                </c:pt>
                <c:pt idx="24">
                  <c:v>21</c:v>
                </c:pt>
                <c:pt idx="25">
                  <c:v>17</c:v>
                </c:pt>
                <c:pt idx="27">
                  <c:v>21</c:v>
                </c:pt>
                <c:pt idx="28">
                  <c:v>5</c:v>
                </c:pt>
                <c:pt idx="33">
                  <c:v>6</c:v>
                </c:pt>
                <c:pt idx="34">
                  <c:v>13</c:v>
                </c:pt>
                <c:pt idx="36">
                  <c:v>4</c:v>
                </c:pt>
                <c:pt idx="37">
                  <c:v>13</c:v>
                </c:pt>
                <c:pt idx="38">
                  <c:v>19</c:v>
                </c:pt>
                <c:pt idx="39">
                  <c:v>7</c:v>
                </c:pt>
                <c:pt idx="43">
                  <c:v>15</c:v>
                </c:pt>
                <c:pt idx="44">
                  <c:v>17</c:v>
                </c:pt>
                <c:pt idx="46">
                  <c:v>19</c:v>
                </c:pt>
                <c:pt idx="47">
                  <c:v>25</c:v>
                </c:pt>
                <c:pt idx="48">
                  <c:v>16</c:v>
                </c:pt>
                <c:pt idx="50">
                  <c:v>12</c:v>
                </c:pt>
                <c:pt idx="51">
                  <c:v>13</c:v>
                </c:pt>
                <c:pt idx="52">
                  <c:v>16</c:v>
                </c:pt>
                <c:pt idx="53">
                  <c:v>17</c:v>
                </c:pt>
                <c:pt idx="55">
                  <c:v>20</c:v>
                </c:pt>
                <c:pt idx="57">
                  <c:v>1</c:v>
                </c:pt>
                <c:pt idx="6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44-4E55-93E5-F92E88BBCD34}"/>
            </c:ext>
          </c:extLst>
        </c:ser>
        <c:ser>
          <c:idx val="1"/>
          <c:order val="1"/>
          <c:tx>
            <c:strRef>
              <c:f>'楕円 (離散化)'!$E$71</c:f>
              <c:strCache>
                <c:ptCount val="1"/>
                <c:pt idx="0">
                  <c:v>61-Y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'楕円 (離散化)'!$C$72:$C$132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'楕円 (離散化)'!$E$72:$E$132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4">
                  <c:v>50</c:v>
                </c:pt>
                <c:pt idx="6">
                  <c:v>37</c:v>
                </c:pt>
                <c:pt idx="8">
                  <c:v>57</c:v>
                </c:pt>
                <c:pt idx="9">
                  <c:v>54</c:v>
                </c:pt>
                <c:pt idx="10">
                  <c:v>40</c:v>
                </c:pt>
                <c:pt idx="11">
                  <c:v>51</c:v>
                </c:pt>
                <c:pt idx="13">
                  <c:v>54</c:v>
                </c:pt>
                <c:pt idx="14">
                  <c:v>31</c:v>
                </c:pt>
                <c:pt idx="15">
                  <c:v>35</c:v>
                </c:pt>
                <c:pt idx="17">
                  <c:v>57</c:v>
                </c:pt>
                <c:pt idx="18">
                  <c:v>43</c:v>
                </c:pt>
                <c:pt idx="22">
                  <c:v>45</c:v>
                </c:pt>
                <c:pt idx="23">
                  <c:v>35</c:v>
                </c:pt>
                <c:pt idx="24">
                  <c:v>40</c:v>
                </c:pt>
                <c:pt idx="25">
                  <c:v>44</c:v>
                </c:pt>
                <c:pt idx="27">
                  <c:v>40</c:v>
                </c:pt>
                <c:pt idx="28">
                  <c:v>56</c:v>
                </c:pt>
                <c:pt idx="33">
                  <c:v>55</c:v>
                </c:pt>
                <c:pt idx="34">
                  <c:v>48</c:v>
                </c:pt>
                <c:pt idx="36">
                  <c:v>57</c:v>
                </c:pt>
                <c:pt idx="37">
                  <c:v>48</c:v>
                </c:pt>
                <c:pt idx="38">
                  <c:v>42</c:v>
                </c:pt>
                <c:pt idx="39">
                  <c:v>54</c:v>
                </c:pt>
                <c:pt idx="43">
                  <c:v>46</c:v>
                </c:pt>
                <c:pt idx="44">
                  <c:v>44</c:v>
                </c:pt>
                <c:pt idx="46">
                  <c:v>42</c:v>
                </c:pt>
                <c:pt idx="47">
                  <c:v>36</c:v>
                </c:pt>
                <c:pt idx="48">
                  <c:v>45</c:v>
                </c:pt>
                <c:pt idx="50">
                  <c:v>49</c:v>
                </c:pt>
                <c:pt idx="51">
                  <c:v>48</c:v>
                </c:pt>
                <c:pt idx="52">
                  <c:v>45</c:v>
                </c:pt>
                <c:pt idx="53">
                  <c:v>44</c:v>
                </c:pt>
                <c:pt idx="55">
                  <c:v>41</c:v>
                </c:pt>
                <c:pt idx="57">
                  <c:v>60</c:v>
                </c:pt>
                <c:pt idx="6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44-4E55-93E5-F92E88BBC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86368"/>
        <c:axId val="150086848"/>
      </c:scatterChart>
      <c:valAx>
        <c:axId val="15008636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0086848"/>
        <c:crosses val="autoZero"/>
        <c:crossBetween val="midCat"/>
      </c:valAx>
      <c:valAx>
        <c:axId val="150086848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0086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161925</xdr:colOff>
      <xdr:row>2</xdr:row>
      <xdr:rowOff>38100</xdr:rowOff>
    </xdr:from>
    <xdr:to>
      <xdr:col>6</xdr:col>
      <xdr:colOff>476250</xdr:colOff>
      <xdr:row>12</xdr:row>
      <xdr:rowOff>19050</xdr:rowOff>
    </xdr:to>
    <xdr:sp macro="" textlink="">
      <xdr:nvSpPr>
        <xdr:cNvPr id="2" name="右中かっこ 1">
          <a:extLst>
            <a:ext uri="{FF2B5EF4-FFF2-40B4-BE49-F238E27FC236}">
              <a16:creationId xmlns:a16="http://schemas.microsoft.com/office/drawing/2014/main" id="{736E2991-11A1-FEDC-57DD-44616FC432F2}"/>
            </a:ext>
          </a:extLst>
        </xdr:cNvPr>
        <xdr:cNvSpPr/>
      </xdr:nvSpPr>
      <xdr:spPr>
        <a:xfrm>
          <a:off x="4276725" y="514350"/>
          <a:ext cx="314325" cy="236220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161925</xdr:colOff>
      <xdr:row>13</xdr:row>
      <xdr:rowOff>38100</xdr:rowOff>
    </xdr:from>
    <xdr:to>
      <xdr:col>6</xdr:col>
      <xdr:colOff>466725</xdr:colOff>
      <xdr:row>17</xdr:row>
      <xdr:rowOff>228600</xdr:rowOff>
    </xdr:to>
    <xdr:sp macro="" textlink="">
      <xdr:nvSpPr>
        <xdr:cNvPr id="3" name="右中かっこ 2">
          <a:extLst>
            <a:ext uri="{FF2B5EF4-FFF2-40B4-BE49-F238E27FC236}">
              <a16:creationId xmlns:a16="http://schemas.microsoft.com/office/drawing/2014/main" id="{BB25C871-D58B-4860-7797-797E0ADDB796}"/>
            </a:ext>
          </a:extLst>
        </xdr:cNvPr>
        <xdr:cNvSpPr/>
      </xdr:nvSpPr>
      <xdr:spPr>
        <a:xfrm>
          <a:off x="4276725" y="3133725"/>
          <a:ext cx="304800" cy="114300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495300</xdr:colOff>
      <xdr:row>6</xdr:row>
      <xdr:rowOff>47624</xdr:rowOff>
    </xdr:from>
    <xdr:to>
      <xdr:col>8</xdr:col>
      <xdr:colOff>533400</xdr:colOff>
      <xdr:row>8</xdr:row>
      <xdr:rowOff>76199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84975D7C-ADDE-FA1D-BCF9-E61AE6B6E531}"/>
            </a:ext>
          </a:extLst>
        </xdr:cNvPr>
        <xdr:cNvSpPr txBox="1"/>
      </xdr:nvSpPr>
      <xdr:spPr>
        <a:xfrm>
          <a:off x="4610100" y="1476374"/>
          <a:ext cx="1409700" cy="504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公開キーと演算</a:t>
          </a:r>
        </a:p>
      </xdr:txBody>
    </xdr:sp>
    <xdr:clientData/>
  </xdr:twoCellAnchor>
  <xdr:twoCellAnchor>
    <xdr:from>
      <xdr:col>6</xdr:col>
      <xdr:colOff>504825</xdr:colOff>
      <xdr:row>14</xdr:row>
      <xdr:rowOff>123825</xdr:rowOff>
    </xdr:from>
    <xdr:to>
      <xdr:col>8</xdr:col>
      <xdr:colOff>542925</xdr:colOff>
      <xdr:row>16</xdr:row>
      <xdr:rowOff>152400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24A210EC-E536-4F6C-B0EF-E8D82D89CB74}"/>
            </a:ext>
          </a:extLst>
        </xdr:cNvPr>
        <xdr:cNvSpPr txBox="1"/>
      </xdr:nvSpPr>
      <xdr:spPr>
        <a:xfrm>
          <a:off x="4619625" y="3457575"/>
          <a:ext cx="1409700" cy="504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元の数値を判定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676275</xdr:colOff>
      <xdr:row>20</xdr:row>
      <xdr:rowOff>38100</xdr:rowOff>
    </xdr:from>
    <xdr:to>
      <xdr:col>14</xdr:col>
      <xdr:colOff>28575</xdr:colOff>
      <xdr:row>24</xdr:row>
      <xdr:rowOff>38100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6CA8252-B4CB-0938-386A-7E823E1A8134}"/>
            </a:ext>
          </a:extLst>
        </xdr:cNvPr>
        <xdr:cNvSpPr/>
      </xdr:nvSpPr>
      <xdr:spPr>
        <a:xfrm>
          <a:off x="6848475" y="4800600"/>
          <a:ext cx="6238875" cy="952500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138111</xdr:colOff>
      <xdr:row>2</xdr:row>
      <xdr:rowOff>142875</xdr:rowOff>
    </xdr:from>
    <xdr:to>
      <xdr:col>15</xdr:col>
      <xdr:colOff>238124</xdr:colOff>
      <xdr:row>28</xdr:row>
      <xdr:rowOff>142875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962EB3E5-53B8-F521-91F4-1772242E67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209550</xdr:rowOff>
    </xdr:from>
    <xdr:to>
      <xdr:col>1</xdr:col>
      <xdr:colOff>581025</xdr:colOff>
      <xdr:row>4</xdr:row>
      <xdr:rowOff>216794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5114C06-D2CA-3FB9-42BD-81322F5EF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923925"/>
          <a:ext cx="561975" cy="24536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3</xdr:col>
      <xdr:colOff>428625</xdr:colOff>
      <xdr:row>4</xdr:row>
      <xdr:rowOff>207168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5E019BA-2E00-2817-EE30-84C62D38C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1600" y="952500"/>
          <a:ext cx="1114425" cy="207168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285750</xdr:colOff>
      <xdr:row>4</xdr:row>
      <xdr:rowOff>28575</xdr:rowOff>
    </xdr:from>
    <xdr:to>
      <xdr:col>4</xdr:col>
      <xdr:colOff>495300</xdr:colOff>
      <xdr:row>4</xdr:row>
      <xdr:rowOff>184048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B2B7045D-2524-53FC-44D5-475C3F4B3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28950" y="981075"/>
          <a:ext cx="209550" cy="155473"/>
        </a:xfrm>
        <a:prstGeom prst="rect">
          <a:avLst/>
        </a:prstGeom>
      </xdr:spPr>
    </xdr:pic>
    <xdr:clientData/>
  </xdr:twoCellAnchor>
  <xdr:twoCellAnchor editAs="oneCell">
    <xdr:from>
      <xdr:col>14</xdr:col>
      <xdr:colOff>142875</xdr:colOff>
      <xdr:row>1</xdr:row>
      <xdr:rowOff>38100</xdr:rowOff>
    </xdr:from>
    <xdr:to>
      <xdr:col>21</xdr:col>
      <xdr:colOff>256077</xdr:colOff>
      <xdr:row>27</xdr:row>
      <xdr:rowOff>47019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5A5B9B87-F83B-22FC-F486-DFC359061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58275" y="276225"/>
          <a:ext cx="4913802" cy="6200169"/>
        </a:xfrm>
        <a:prstGeom prst="rect">
          <a:avLst/>
        </a:prstGeom>
      </xdr:spPr>
    </xdr:pic>
    <xdr:clientData/>
  </xdr:twoCellAnchor>
  <xdr:twoCellAnchor>
    <xdr:from>
      <xdr:col>14</xdr:col>
      <xdr:colOff>142875</xdr:colOff>
      <xdr:row>11</xdr:row>
      <xdr:rowOff>142875</xdr:rowOff>
    </xdr:from>
    <xdr:to>
      <xdr:col>21</xdr:col>
      <xdr:colOff>47625</xdr:colOff>
      <xdr:row>14</xdr:row>
      <xdr:rowOff>42560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5CB6A2BC-9870-AB47-9D97-D37B33FC43B6}"/>
            </a:ext>
          </a:extLst>
        </xdr:cNvPr>
        <xdr:cNvCxnSpPr>
          <a:stCxn id="10" idx="1"/>
        </xdr:cNvCxnSpPr>
      </xdr:nvCxnSpPr>
      <xdr:spPr>
        <a:xfrm flipV="1">
          <a:off x="9058275" y="2762250"/>
          <a:ext cx="4705350" cy="614060"/>
        </a:xfrm>
        <a:prstGeom prst="line">
          <a:avLst/>
        </a:prstGeom>
        <a:ln>
          <a:solidFill>
            <a:schemeClr val="accent3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85725</xdr:colOff>
      <xdr:row>11</xdr:row>
      <xdr:rowOff>152401</xdr:rowOff>
    </xdr:from>
    <xdr:to>
      <xdr:col>15</xdr:col>
      <xdr:colOff>381000</xdr:colOff>
      <xdr:row>13</xdr:row>
      <xdr:rowOff>95251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D0FA38C2-1FFC-50E3-E1A0-4D1C8C7FFB6E}"/>
            </a:ext>
          </a:extLst>
        </xdr:cNvPr>
        <xdr:cNvSpPr txBox="1"/>
      </xdr:nvSpPr>
      <xdr:spPr>
        <a:xfrm>
          <a:off x="9001125" y="2771776"/>
          <a:ext cx="981075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/>
            <a:t>P</a:t>
          </a:r>
          <a:r>
            <a:rPr kumimoji="1" lang="en-US" altLang="ja-JP" sz="1600" baseline="-25000"/>
            <a:t>1</a:t>
          </a:r>
          <a:r>
            <a:rPr kumimoji="1" lang="en-US" altLang="ja-JP" sz="1600"/>
            <a:t>(X</a:t>
          </a:r>
          <a:r>
            <a:rPr kumimoji="1" lang="en-US" altLang="ja-JP" sz="1600" baseline="-25000"/>
            <a:t>1</a:t>
          </a:r>
          <a:r>
            <a:rPr kumimoji="1" lang="en-US" altLang="ja-JP" sz="1600"/>
            <a:t>,Y</a:t>
          </a:r>
          <a:r>
            <a:rPr kumimoji="1" lang="en-US" altLang="ja-JP" sz="1600" baseline="-25000"/>
            <a:t>1</a:t>
          </a:r>
          <a:r>
            <a:rPr kumimoji="1" lang="en-US" altLang="ja-JP" sz="1600"/>
            <a:t>)</a:t>
          </a:r>
          <a:endParaRPr kumimoji="1" lang="ja-JP" altLang="en-US" sz="1600"/>
        </a:p>
      </xdr:txBody>
    </xdr:sp>
    <xdr:clientData/>
  </xdr:twoCellAnchor>
  <xdr:twoCellAnchor>
    <xdr:from>
      <xdr:col>15</xdr:col>
      <xdr:colOff>323850</xdr:colOff>
      <xdr:row>11</xdr:row>
      <xdr:rowOff>180975</xdr:rowOff>
    </xdr:from>
    <xdr:to>
      <xdr:col>16</xdr:col>
      <xdr:colOff>619125</xdr:colOff>
      <xdr:row>13</xdr:row>
      <xdr:rowOff>123825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CA40129E-6575-464C-BD24-5A7A34DD4913}"/>
            </a:ext>
          </a:extLst>
        </xdr:cNvPr>
        <xdr:cNvSpPr txBox="1"/>
      </xdr:nvSpPr>
      <xdr:spPr>
        <a:xfrm>
          <a:off x="9925050" y="2800350"/>
          <a:ext cx="981075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/>
            <a:t>P</a:t>
          </a:r>
          <a:r>
            <a:rPr kumimoji="1" lang="en-US" altLang="ja-JP" sz="1600" baseline="-25000"/>
            <a:t>2</a:t>
          </a:r>
          <a:r>
            <a:rPr kumimoji="1" lang="en-US" altLang="ja-JP" sz="1600"/>
            <a:t>(X</a:t>
          </a:r>
          <a:r>
            <a:rPr kumimoji="1" lang="en-US" altLang="ja-JP" sz="1600" baseline="-25000"/>
            <a:t>2</a:t>
          </a:r>
          <a:r>
            <a:rPr kumimoji="1" lang="en-US" altLang="ja-JP" sz="1600"/>
            <a:t>,Y</a:t>
          </a:r>
          <a:r>
            <a:rPr kumimoji="1" lang="en-US" altLang="ja-JP" sz="1600" baseline="-25000"/>
            <a:t>2</a:t>
          </a:r>
          <a:r>
            <a:rPr kumimoji="1" lang="en-US" altLang="ja-JP" sz="1600"/>
            <a:t>)</a:t>
          </a:r>
          <a:endParaRPr kumimoji="1" lang="ja-JP" altLang="en-US" sz="1600"/>
        </a:p>
      </xdr:txBody>
    </xdr:sp>
    <xdr:clientData/>
  </xdr:twoCellAnchor>
  <xdr:twoCellAnchor>
    <xdr:from>
      <xdr:col>16</xdr:col>
      <xdr:colOff>38100</xdr:colOff>
      <xdr:row>15</xdr:row>
      <xdr:rowOff>85725</xdr:rowOff>
    </xdr:from>
    <xdr:to>
      <xdr:col>17</xdr:col>
      <xdr:colOff>333375</xdr:colOff>
      <xdr:row>17</xdr:row>
      <xdr:rowOff>28575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301C6450-7EA1-4ECE-81FB-31F0294D0D7B}"/>
            </a:ext>
          </a:extLst>
        </xdr:cNvPr>
        <xdr:cNvSpPr txBox="1"/>
      </xdr:nvSpPr>
      <xdr:spPr>
        <a:xfrm>
          <a:off x="11010900" y="3657600"/>
          <a:ext cx="981075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/>
            <a:t>P</a:t>
          </a:r>
          <a:r>
            <a:rPr kumimoji="1" lang="en-US" altLang="ja-JP" sz="1600" baseline="-25000"/>
            <a:t>3</a:t>
          </a:r>
          <a:r>
            <a:rPr kumimoji="1" lang="en-US" altLang="ja-JP" sz="1600"/>
            <a:t>(X</a:t>
          </a:r>
          <a:r>
            <a:rPr kumimoji="1" lang="en-US" altLang="ja-JP" sz="1600" baseline="-25000"/>
            <a:t>3</a:t>
          </a:r>
          <a:r>
            <a:rPr kumimoji="1" lang="en-US" altLang="ja-JP" sz="1600"/>
            <a:t>,Y</a:t>
          </a:r>
          <a:r>
            <a:rPr kumimoji="1" lang="en-US" altLang="ja-JP" sz="1600" baseline="-25000"/>
            <a:t>3</a:t>
          </a:r>
          <a:r>
            <a:rPr kumimoji="1" lang="en-US" altLang="ja-JP" sz="1600"/>
            <a:t>)</a:t>
          </a:r>
          <a:endParaRPr kumimoji="1" lang="ja-JP" altLang="en-US" sz="1600"/>
        </a:p>
      </xdr:txBody>
    </xdr:sp>
    <xdr:clientData/>
  </xdr:twoCellAnchor>
  <xdr:twoCellAnchor editAs="oneCell">
    <xdr:from>
      <xdr:col>0</xdr:col>
      <xdr:colOff>19050</xdr:colOff>
      <xdr:row>0</xdr:row>
      <xdr:rowOff>0</xdr:rowOff>
    </xdr:from>
    <xdr:to>
      <xdr:col>13</xdr:col>
      <xdr:colOff>314325</xdr:colOff>
      <xdr:row>22</xdr:row>
      <xdr:rowOff>161925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F17311FC-8071-717A-A716-84C5251F2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9210675" cy="540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133350</xdr:colOff>
      <xdr:row>13</xdr:row>
      <xdr:rowOff>9525</xdr:rowOff>
    </xdr:from>
    <xdr:to>
      <xdr:col>17</xdr:col>
      <xdr:colOff>133350</xdr:colOff>
      <xdr:row>15</xdr:row>
      <xdr:rowOff>85725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A03D0665-2678-4148-3867-95E8A089E775}"/>
            </a:ext>
          </a:extLst>
        </xdr:cNvPr>
        <xdr:cNvCxnSpPr/>
      </xdr:nvCxnSpPr>
      <xdr:spPr>
        <a:xfrm>
          <a:off x="11791950" y="3105150"/>
          <a:ext cx="0" cy="5524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657225</xdr:colOff>
      <xdr:row>14</xdr:row>
      <xdr:rowOff>85724</xdr:rowOff>
    </xdr:from>
    <xdr:to>
      <xdr:col>14</xdr:col>
      <xdr:colOff>85724</xdr:colOff>
      <xdr:row>30</xdr:row>
      <xdr:rowOff>152399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E904092C-6D19-BA36-C08B-F606BD0B7702}"/>
            </a:ext>
          </a:extLst>
        </xdr:cNvPr>
        <xdr:cNvSpPr txBox="1"/>
      </xdr:nvSpPr>
      <xdr:spPr>
        <a:xfrm>
          <a:off x="2028825" y="3419474"/>
          <a:ext cx="7658099" cy="3876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800">
              <a:latin typeface="+mj-lt"/>
            </a:rPr>
            <a:t>y</a:t>
          </a:r>
          <a:r>
            <a:rPr kumimoji="1" lang="en-US" altLang="ja-JP" sz="1800" baseline="30000">
              <a:latin typeface="+mj-lt"/>
            </a:rPr>
            <a:t>2</a:t>
          </a:r>
          <a:r>
            <a:rPr kumimoji="1" lang="en-US" altLang="ja-JP" sz="1800">
              <a:latin typeface="+mj-lt"/>
            </a:rPr>
            <a:t>=x</a:t>
          </a:r>
          <a:r>
            <a:rPr kumimoji="1" lang="en-US" altLang="ja-JP" sz="1800" baseline="30000">
              <a:latin typeface="+mj-lt"/>
            </a:rPr>
            <a:t>3</a:t>
          </a:r>
          <a:r>
            <a:rPr kumimoji="1" lang="en-US" altLang="ja-JP" sz="1800">
              <a:latin typeface="+mj-lt"/>
            </a:rPr>
            <a:t>-x</a:t>
          </a:r>
          <a:r>
            <a:rPr kumimoji="1" lang="ja-JP" altLang="en-US" sz="1800">
              <a:latin typeface="+mj-lt"/>
            </a:rPr>
            <a:t>上の</a:t>
          </a:r>
          <a:r>
            <a:rPr kumimoji="1" lang="en-US" altLang="ja-JP" sz="1800">
              <a:latin typeface="+mj-lt"/>
            </a:rPr>
            <a:t>2</a:t>
          </a:r>
          <a:r>
            <a:rPr kumimoji="1" lang="ja-JP" altLang="en-US" sz="1800">
              <a:latin typeface="+mj-lt"/>
            </a:rPr>
            <a:t>点を</a:t>
          </a:r>
          <a:r>
            <a:rPr kumimoji="1" lang="en-US" altLang="ja-JP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P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1</a:t>
          </a:r>
          <a:r>
            <a:rPr kumimoji="1" lang="en-US" altLang="ja-JP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(X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1</a:t>
          </a:r>
          <a:r>
            <a:rPr kumimoji="1" lang="en-US" altLang="ja-JP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,Y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1</a:t>
          </a:r>
          <a:r>
            <a:rPr kumimoji="1" lang="en-US" altLang="ja-JP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)</a:t>
          </a:r>
          <a:r>
            <a:rPr kumimoji="1" lang="ja-JP" altLang="en-US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、</a:t>
          </a:r>
          <a:r>
            <a:rPr kumimoji="1" lang="en-US" altLang="ja-JP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P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2</a:t>
          </a:r>
          <a:r>
            <a:rPr kumimoji="1" lang="en-US" altLang="ja-JP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(X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2</a:t>
          </a:r>
          <a:r>
            <a:rPr kumimoji="1" lang="en-US" altLang="ja-JP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,Y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2</a:t>
          </a:r>
          <a:r>
            <a:rPr kumimoji="1" lang="en-US" altLang="ja-JP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)</a:t>
          </a:r>
          <a:r>
            <a:rPr kumimoji="1" lang="ja-JP" altLang="en-US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とすると、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2</a:t>
          </a:r>
          <a:r>
            <a:rPr kumimoji="1" lang="ja-JP" altLang="en-US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点を通る直線は、</a:t>
          </a:r>
          <a:r>
            <a:rPr kumimoji="1" lang="en-US" altLang="ja-JP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y=</a:t>
          </a:r>
          <a:r>
            <a:rPr kumimoji="1" lang="en-US" altLang="ja-JP" sz="1800" i="1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φ</a:t>
          </a:r>
          <a:r>
            <a:rPr kumimoji="1" lang="en-US" altLang="ja-JP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(x-x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1</a:t>
          </a:r>
          <a:r>
            <a:rPr kumimoji="1" lang="en-US" altLang="ja-JP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)+y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1</a:t>
          </a:r>
          <a:r>
            <a:rPr kumimoji="1" lang="ja-JP" altLang="en-US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となる。ここで</a:t>
          </a:r>
          <a:r>
            <a:rPr kumimoji="1" lang="en-US" altLang="ja-JP" sz="1800" i="1" baseline="0">
              <a:solidFill>
                <a:srgbClr val="FF0000"/>
              </a:solidFill>
              <a:effectLst/>
              <a:latin typeface="+mj-lt"/>
              <a:ea typeface="+mn-ea"/>
              <a:cs typeface="+mn-cs"/>
            </a:rPr>
            <a:t>φ=</a:t>
          </a:r>
          <a:r>
            <a:rPr kumimoji="1" lang="en-US" altLang="ja-JP" sz="1800" i="0" baseline="0">
              <a:solidFill>
                <a:srgbClr val="FF0000"/>
              </a:solidFill>
              <a:effectLst/>
              <a:latin typeface="+mj-lt"/>
              <a:ea typeface="+mn-ea"/>
              <a:cs typeface="+mn-cs"/>
            </a:rPr>
            <a:t>y</a:t>
          </a:r>
          <a:r>
            <a:rPr kumimoji="1" lang="en-US" altLang="ja-JP" sz="1800" i="0" baseline="-25000">
              <a:solidFill>
                <a:srgbClr val="FF0000"/>
              </a:solidFill>
              <a:effectLst/>
              <a:latin typeface="+mj-lt"/>
              <a:ea typeface="+mn-ea"/>
              <a:cs typeface="+mn-cs"/>
            </a:rPr>
            <a:t>2</a:t>
          </a:r>
          <a:r>
            <a:rPr kumimoji="1" lang="en-US" altLang="ja-JP" sz="1800" i="0" baseline="0">
              <a:solidFill>
                <a:srgbClr val="FF0000"/>
              </a:solidFill>
              <a:effectLst/>
              <a:latin typeface="+mj-lt"/>
              <a:ea typeface="+mn-ea"/>
              <a:cs typeface="+mn-cs"/>
            </a:rPr>
            <a:t>-y</a:t>
          </a:r>
          <a:r>
            <a:rPr kumimoji="1" lang="en-US" altLang="ja-JP" sz="1800" i="0" baseline="-25000">
              <a:solidFill>
                <a:srgbClr val="FF0000"/>
              </a:solidFill>
              <a:effectLst/>
              <a:latin typeface="+mj-lt"/>
              <a:ea typeface="+mn-ea"/>
              <a:cs typeface="+mn-cs"/>
            </a:rPr>
            <a:t>1</a:t>
          </a:r>
          <a:r>
            <a:rPr kumimoji="1" lang="en-US" altLang="ja-JP" sz="1800" i="0" baseline="0">
              <a:solidFill>
                <a:srgbClr val="FF0000"/>
              </a:solidFill>
              <a:effectLst/>
              <a:latin typeface="+mj-lt"/>
              <a:ea typeface="+mn-ea"/>
              <a:cs typeface="+mn-cs"/>
            </a:rPr>
            <a:t>/x</a:t>
          </a:r>
          <a:r>
            <a:rPr kumimoji="1" lang="en-US" altLang="ja-JP" sz="1800" i="0" baseline="-25000">
              <a:solidFill>
                <a:srgbClr val="FF0000"/>
              </a:solidFill>
              <a:effectLst/>
              <a:latin typeface="+mj-lt"/>
              <a:ea typeface="+mn-ea"/>
              <a:cs typeface="+mn-cs"/>
            </a:rPr>
            <a:t>2</a:t>
          </a:r>
          <a:r>
            <a:rPr kumimoji="1" lang="en-US" altLang="ja-JP" sz="1800" i="0" baseline="0">
              <a:solidFill>
                <a:srgbClr val="FF0000"/>
              </a:solidFill>
              <a:effectLst/>
              <a:latin typeface="+mj-lt"/>
              <a:ea typeface="+mn-ea"/>
              <a:cs typeface="+mn-cs"/>
            </a:rPr>
            <a:t>-x</a:t>
          </a:r>
          <a:r>
            <a:rPr kumimoji="1" lang="en-US" altLang="ja-JP" sz="1800" i="0" baseline="-25000">
              <a:solidFill>
                <a:srgbClr val="FF0000"/>
              </a:solidFill>
              <a:effectLst/>
              <a:latin typeface="+mj-lt"/>
              <a:ea typeface="+mn-ea"/>
              <a:cs typeface="+mn-cs"/>
            </a:rPr>
            <a:t>1</a:t>
          </a:r>
          <a:r>
            <a:rPr kumimoji="1" lang="en-US" altLang="ja-JP" sz="1800" i="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(</a:t>
          </a:r>
          <a:r>
            <a:rPr kumimoji="1" lang="ja-JP" altLang="en-US" sz="1800" i="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直線の傾き</a:t>
          </a:r>
          <a:r>
            <a:rPr kumimoji="1" lang="en-US" altLang="ja-JP" sz="1800" i="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)</a:t>
          </a:r>
          <a:endParaRPr kumimoji="1" lang="ja-JP" altLang="en-US" sz="1800" i="0" baseline="0">
            <a:solidFill>
              <a:schemeClr val="dk1"/>
            </a:solidFill>
            <a:effectLst/>
            <a:latin typeface="+mj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y</a:t>
          </a:r>
          <a:r>
            <a:rPr kumimoji="1" lang="en-US" altLang="ja-JP" sz="1800" baseline="30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2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=x</a:t>
          </a:r>
          <a:r>
            <a:rPr kumimoji="1" lang="en-US" altLang="ja-JP" sz="1800" baseline="30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3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-x</a:t>
          </a:r>
          <a:r>
            <a:rPr kumimoji="1" lang="ja-JP" altLang="en-US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との交点は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y</a:t>
          </a:r>
          <a:r>
            <a:rPr kumimoji="1" lang="ja-JP" altLang="en-US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を消去して、</a:t>
          </a:r>
          <a:r>
            <a:rPr kumimoji="1" lang="en-US" altLang="ja-JP" sz="1800" i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(</a:t>
          </a:r>
          <a:r>
            <a:rPr kumimoji="1" lang="en-US" altLang="ja-JP" sz="1800" i="1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φ</a:t>
          </a:r>
          <a:r>
            <a:rPr kumimoji="1" lang="en-US" altLang="ja-JP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(x-x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1</a:t>
          </a:r>
          <a:r>
            <a:rPr kumimoji="1" lang="en-US" altLang="ja-JP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)+y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1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)</a:t>
          </a:r>
          <a:r>
            <a:rPr kumimoji="1" lang="en-US" altLang="ja-JP" sz="1800" baseline="30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2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=</a:t>
          </a:r>
          <a:r>
            <a:rPr kumimoji="1" lang="en-US" altLang="ja-JP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x</a:t>
          </a:r>
          <a:r>
            <a:rPr kumimoji="1" lang="en-US" altLang="ja-JP" sz="1800" baseline="30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3</a:t>
          </a:r>
          <a:r>
            <a:rPr kumimoji="1" lang="en-US" altLang="ja-JP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-x</a:t>
          </a:r>
          <a:endParaRPr kumimoji="1" lang="ja-JP" altLang="en-US" sz="1800" baseline="0">
            <a:solidFill>
              <a:schemeClr val="dk1"/>
            </a:solidFill>
            <a:effectLst/>
            <a:latin typeface="+mj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800" baseline="0">
              <a:effectLst/>
              <a:latin typeface="+mj-lt"/>
            </a:rPr>
            <a:t>展開して式を整理すると、</a:t>
          </a:r>
          <a:r>
            <a:rPr kumimoji="1" lang="en-US" altLang="ja-JP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x</a:t>
          </a:r>
          <a:r>
            <a:rPr kumimoji="1" lang="en-US" altLang="ja-JP" sz="1800" baseline="30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3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-</a:t>
          </a:r>
          <a:r>
            <a:rPr kumimoji="1" lang="en-US" altLang="ja-JP" sz="1800" i="1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φ</a:t>
          </a:r>
          <a:r>
            <a:rPr kumimoji="1" lang="en-US" altLang="ja-JP" sz="1800" i="0" baseline="30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2</a:t>
          </a:r>
          <a:r>
            <a:rPr kumimoji="1" lang="en-US" altLang="ja-JP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x</a:t>
          </a:r>
          <a:r>
            <a:rPr kumimoji="1" lang="en-US" altLang="ja-JP" sz="1800" baseline="30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2</a:t>
          </a:r>
          <a:r>
            <a:rPr kumimoji="1" lang="en-US" altLang="ja-JP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+</a:t>
          </a:r>
          <a:r>
            <a:rPr kumimoji="1" lang="ja-JP" altLang="en-US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・・・略</a:t>
          </a:r>
          <a:endParaRPr lang="ja-JP" altLang="en-US" sz="1800" baseline="0">
            <a:effectLst/>
            <a:latin typeface="+mj-lt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800" baseline="0">
              <a:effectLst/>
              <a:latin typeface="+mj-lt"/>
            </a:rPr>
            <a:t>またこの</a:t>
          </a:r>
          <a:r>
            <a:rPr lang="en-US" altLang="ja-JP" sz="1800" baseline="0">
              <a:effectLst/>
              <a:latin typeface="+mj-lt"/>
            </a:rPr>
            <a:t>X</a:t>
          </a:r>
          <a:r>
            <a:rPr lang="ja-JP" altLang="en-US" sz="1800" baseline="0">
              <a:effectLst/>
              <a:latin typeface="+mj-lt"/>
            </a:rPr>
            <a:t>についての</a:t>
          </a:r>
          <a:r>
            <a:rPr lang="en-US" altLang="ja-JP" sz="1800" baseline="0">
              <a:effectLst/>
              <a:latin typeface="+mj-lt"/>
            </a:rPr>
            <a:t>3</a:t>
          </a:r>
          <a:r>
            <a:rPr lang="ja-JP" altLang="en-US" sz="1800" baseline="0">
              <a:effectLst/>
              <a:latin typeface="+mj-lt"/>
            </a:rPr>
            <a:t>次方程式は、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X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1</a:t>
          </a:r>
          <a:r>
            <a:rPr kumimoji="1" lang="ja-JP" altLang="en-US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、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X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2</a:t>
          </a:r>
          <a:r>
            <a:rPr kumimoji="1" lang="ja-JP" altLang="en-US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、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X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3</a:t>
          </a:r>
          <a:r>
            <a:rPr kumimoji="1" lang="ja-JP" altLang="en-US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の解をもつことから、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(x-x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1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)(x</a:t>
          </a:r>
          <a:r>
            <a:rPr kumimoji="1" lang="ja-JP" altLang="en-US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ｰ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x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2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)(x-x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3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)=0</a:t>
          </a:r>
          <a:r>
            <a:rPr kumimoji="1" lang="ja-JP" altLang="en-US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　となる。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X</a:t>
          </a:r>
          <a:r>
            <a:rPr kumimoji="1" lang="ja-JP" altLang="en-US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の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2</a:t>
          </a:r>
          <a:r>
            <a:rPr kumimoji="1" lang="ja-JP" altLang="en-US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次の係数は、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-(x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1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+x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2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+x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3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)</a:t>
          </a:r>
          <a:r>
            <a:rPr kumimoji="1" lang="ja-JP" altLang="en-US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となるため、</a:t>
          </a:r>
          <a:r>
            <a:rPr kumimoji="1" lang="en-US" altLang="ja-JP" sz="1800" i="1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φ</a:t>
          </a:r>
          <a:r>
            <a:rPr kumimoji="1" lang="en-US" altLang="ja-JP" sz="1800" baseline="30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2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=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+x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+x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kumimoji="1" lang="ja-JP" altLang="en-US" sz="18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ja-JP" altLang="en-US" sz="1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より</a:t>
          </a:r>
          <a:r>
            <a:rPr kumimoji="1" lang="ja-JP" altLang="en-US" sz="18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8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kumimoji="1" lang="en-US" altLang="ja-JP" sz="1800" baseline="-25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kumimoji="1" lang="en-US" altLang="ja-JP" sz="18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kumimoji="1" lang="en-US" altLang="ja-JP" sz="1800" i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φ</a:t>
          </a:r>
          <a:r>
            <a:rPr kumimoji="1" lang="en-US" altLang="ja-JP" sz="1800" baseline="30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kumimoji="1" lang="en-US" altLang="ja-JP" sz="18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-X</a:t>
          </a:r>
          <a:r>
            <a:rPr kumimoji="1" lang="en-US" altLang="ja-JP" sz="1800" baseline="-25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en-US" altLang="ja-JP" sz="18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-X</a:t>
          </a:r>
          <a:r>
            <a:rPr kumimoji="1" lang="en-US" altLang="ja-JP" sz="1800" baseline="-25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</a:t>
          </a:r>
          <a:endParaRPr kumimoji="1" lang="ja-JP" altLang="en-US" sz="1800" baseline="-250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-y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kumimoji="1" lang="en-US" altLang="ja-JP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kumimoji="1" lang="en-US" altLang="ja-JP" sz="18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φ</a:t>
          </a:r>
          <a:r>
            <a:rPr kumimoji="1" lang="en-US" altLang="ja-JP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(x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kumimoji="1" lang="en-US" altLang="ja-JP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-x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en-US" altLang="ja-JP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)+y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ja-JP" altLang="en-US" sz="18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ja-JP" altLang="en-US" sz="1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より　</a:t>
          </a:r>
          <a:r>
            <a:rPr kumimoji="1" lang="en-US" altLang="ja-JP" sz="18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y</a:t>
          </a:r>
          <a:r>
            <a:rPr kumimoji="1" lang="en-US" altLang="ja-JP" sz="1800" baseline="-25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kumimoji="1" lang="en-US" altLang="ja-JP" sz="18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=-</a:t>
          </a:r>
          <a:r>
            <a:rPr kumimoji="1" lang="en-US" altLang="ja-JP" sz="1800" i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φx</a:t>
          </a:r>
          <a:r>
            <a:rPr kumimoji="1" lang="en-US" altLang="ja-JP" sz="1800" i="1" baseline="-25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kumimoji="1" lang="en-US" altLang="ja-JP" sz="18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kumimoji="1" lang="en-US" altLang="ja-JP" sz="1800" i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ψ</a:t>
          </a:r>
          <a:r>
            <a:rPr kumimoji="1" lang="ja-JP" altLang="en-US" sz="1800" i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800" i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ψ</a:t>
          </a:r>
          <a:r>
            <a:rPr kumimoji="1" lang="en-US" altLang="ja-JP" sz="180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=y</a:t>
          </a:r>
          <a:r>
            <a:rPr kumimoji="1" lang="en-US" altLang="ja-JP" sz="1800" i="0" baseline="-25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en-US" altLang="ja-JP" sz="180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kumimoji="1" lang="en-US" altLang="ja-JP" sz="1800" i="0" baseline="-25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kumimoji="1" lang="en-US" altLang="ja-JP" sz="180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-y</a:t>
          </a:r>
          <a:r>
            <a:rPr kumimoji="1" lang="en-US" altLang="ja-JP" sz="1800" i="0" baseline="-25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kumimoji="1" lang="en-US" altLang="ja-JP" sz="180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kumimoji="1" lang="en-US" altLang="ja-JP" sz="1800" i="0" baseline="-25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en-US" altLang="ja-JP" sz="180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/x</a:t>
          </a:r>
          <a:r>
            <a:rPr kumimoji="1" lang="en-US" altLang="ja-JP" sz="1800" i="0" baseline="-25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kumimoji="1" lang="en-US" altLang="ja-JP" sz="180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-x</a:t>
          </a:r>
          <a:r>
            <a:rPr kumimoji="1" lang="en-US" altLang="ja-JP" sz="1800" i="0" baseline="-25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en-US" altLang="ja-JP" sz="18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ja-JP" altLang="en-US" sz="18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直線の切片</a:t>
          </a:r>
          <a:r>
            <a:rPr kumimoji="1" lang="en-US" altLang="ja-JP" sz="180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ja-JP" altLang="ja-JP" sz="1800" i="0" baseline="0">
            <a:effectLst/>
            <a:latin typeface="+mj-lt"/>
          </a:endParaRPr>
        </a:p>
      </xdr:txBody>
    </xdr:sp>
    <xdr:clientData/>
  </xdr:twoCellAnchor>
  <xdr:twoCellAnchor>
    <xdr:from>
      <xdr:col>1</xdr:col>
      <xdr:colOff>600075</xdr:colOff>
      <xdr:row>11</xdr:row>
      <xdr:rowOff>123826</xdr:rowOff>
    </xdr:from>
    <xdr:to>
      <xdr:col>12</xdr:col>
      <xdr:colOff>381000</xdr:colOff>
      <xdr:row>12</xdr:row>
      <xdr:rowOff>133350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8744CBD3-8C11-D7F6-1FE3-09C0343607A6}"/>
            </a:ext>
          </a:extLst>
        </xdr:cNvPr>
        <xdr:cNvSpPr/>
      </xdr:nvSpPr>
      <xdr:spPr>
        <a:xfrm>
          <a:off x="1285875" y="2743201"/>
          <a:ext cx="7324725" cy="2476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552450</xdr:colOff>
      <xdr:row>12</xdr:row>
      <xdr:rowOff>142875</xdr:rowOff>
    </xdr:from>
    <xdr:to>
      <xdr:col>13</xdr:col>
      <xdr:colOff>590550</xdr:colOff>
      <xdr:row>13</xdr:row>
      <xdr:rowOff>38100</xdr:rowOff>
    </xdr:to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DB1C535D-FE11-526A-2981-98B64607936C}"/>
            </a:ext>
          </a:extLst>
        </xdr:cNvPr>
        <xdr:cNvSpPr/>
      </xdr:nvSpPr>
      <xdr:spPr>
        <a:xfrm>
          <a:off x="8782050" y="3000375"/>
          <a:ext cx="723900" cy="1333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408581</xdr:colOff>
      <xdr:row>18</xdr:row>
      <xdr:rowOff>228036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9C5A3A7B-98F5-471E-07E4-65814FE47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52381" cy="4514286"/>
        </a:xfrm>
        <a:prstGeom prst="rect">
          <a:avLst/>
        </a:prstGeom>
      </xdr:spPr>
    </xdr:pic>
    <xdr:clientData/>
  </xdr:twoCellAnchor>
  <xdr:twoCellAnchor editAs="oneCell">
    <xdr:from>
      <xdr:col>14</xdr:col>
      <xdr:colOff>142875</xdr:colOff>
      <xdr:row>1</xdr:row>
      <xdr:rowOff>38100</xdr:rowOff>
    </xdr:from>
    <xdr:to>
      <xdr:col>21</xdr:col>
      <xdr:colOff>256077</xdr:colOff>
      <xdr:row>27</xdr:row>
      <xdr:rowOff>47019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1738BF8-2FC5-41FF-AA85-93FB74E03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44075" y="276225"/>
          <a:ext cx="4913802" cy="6200169"/>
        </a:xfrm>
        <a:prstGeom prst="rect">
          <a:avLst/>
        </a:prstGeom>
      </xdr:spPr>
    </xdr:pic>
    <xdr:clientData/>
  </xdr:twoCellAnchor>
  <xdr:twoCellAnchor>
    <xdr:from>
      <xdr:col>14</xdr:col>
      <xdr:colOff>257175</xdr:colOff>
      <xdr:row>9</xdr:row>
      <xdr:rowOff>95250</xdr:rowOff>
    </xdr:from>
    <xdr:to>
      <xdr:col>20</xdr:col>
      <xdr:colOff>590550</xdr:colOff>
      <xdr:row>13</xdr:row>
      <xdr:rowOff>200025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0C6CF1C5-3D1C-4A4B-8CF3-6066F6D6A35E}"/>
            </a:ext>
          </a:extLst>
        </xdr:cNvPr>
        <xdr:cNvCxnSpPr/>
      </xdr:nvCxnSpPr>
      <xdr:spPr>
        <a:xfrm flipV="1">
          <a:off x="9858375" y="2238375"/>
          <a:ext cx="4448175" cy="1057275"/>
        </a:xfrm>
        <a:prstGeom prst="line">
          <a:avLst/>
        </a:prstGeom>
        <a:ln>
          <a:solidFill>
            <a:schemeClr val="accent3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266700</xdr:colOff>
      <xdr:row>11</xdr:row>
      <xdr:rowOff>152401</xdr:rowOff>
    </xdr:from>
    <xdr:to>
      <xdr:col>15</xdr:col>
      <xdr:colOff>561975</xdr:colOff>
      <xdr:row>13</xdr:row>
      <xdr:rowOff>95251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B4DBA44F-C0D5-42C5-A82D-EED8A96975CA}"/>
            </a:ext>
          </a:extLst>
        </xdr:cNvPr>
        <xdr:cNvSpPr txBox="1"/>
      </xdr:nvSpPr>
      <xdr:spPr>
        <a:xfrm>
          <a:off x="9867900" y="2771776"/>
          <a:ext cx="981075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/>
            <a:t>P</a:t>
          </a:r>
          <a:r>
            <a:rPr kumimoji="1" lang="en-US" altLang="ja-JP" sz="1600" baseline="-25000"/>
            <a:t>1</a:t>
          </a:r>
          <a:r>
            <a:rPr kumimoji="1" lang="en-US" altLang="ja-JP" sz="1600"/>
            <a:t>(X</a:t>
          </a:r>
          <a:r>
            <a:rPr kumimoji="1" lang="en-US" altLang="ja-JP" sz="1600" baseline="-25000"/>
            <a:t>1</a:t>
          </a:r>
          <a:r>
            <a:rPr kumimoji="1" lang="en-US" altLang="ja-JP" sz="1600"/>
            <a:t>,Y</a:t>
          </a:r>
          <a:r>
            <a:rPr kumimoji="1" lang="en-US" altLang="ja-JP" sz="1600" baseline="-25000"/>
            <a:t>1</a:t>
          </a:r>
          <a:r>
            <a:rPr kumimoji="1" lang="en-US" altLang="ja-JP" sz="1600"/>
            <a:t>)</a:t>
          </a:r>
          <a:endParaRPr kumimoji="1" lang="ja-JP" altLang="en-US" sz="1600"/>
        </a:p>
      </xdr:txBody>
    </xdr:sp>
    <xdr:clientData/>
  </xdr:twoCellAnchor>
  <xdr:twoCellAnchor>
    <xdr:from>
      <xdr:col>17</xdr:col>
      <xdr:colOff>619125</xdr:colOff>
      <xdr:row>15</xdr:row>
      <xdr:rowOff>228600</xdr:rowOff>
    </xdr:from>
    <xdr:to>
      <xdr:col>19</xdr:col>
      <xdr:colOff>228600</xdr:colOff>
      <xdr:row>17</xdr:row>
      <xdr:rowOff>171450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939B3B7C-05EC-480C-A94B-934AAA516D7D}"/>
            </a:ext>
          </a:extLst>
        </xdr:cNvPr>
        <xdr:cNvSpPr txBox="1"/>
      </xdr:nvSpPr>
      <xdr:spPr>
        <a:xfrm>
          <a:off x="12277725" y="3800475"/>
          <a:ext cx="981075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/>
            <a:t>P</a:t>
          </a:r>
          <a:r>
            <a:rPr kumimoji="1" lang="en-US" altLang="ja-JP" sz="1600" baseline="-25000"/>
            <a:t>4</a:t>
          </a:r>
          <a:r>
            <a:rPr kumimoji="1" lang="en-US" altLang="ja-JP" sz="1600"/>
            <a:t>(X</a:t>
          </a:r>
          <a:r>
            <a:rPr kumimoji="1" lang="en-US" altLang="ja-JP" sz="1600" baseline="-25000"/>
            <a:t>4</a:t>
          </a:r>
          <a:r>
            <a:rPr kumimoji="1" lang="en-US" altLang="ja-JP" sz="1600"/>
            <a:t>,Y</a:t>
          </a:r>
          <a:r>
            <a:rPr kumimoji="1" lang="en-US" altLang="ja-JP" sz="1600" baseline="-25000"/>
            <a:t>4</a:t>
          </a:r>
          <a:r>
            <a:rPr kumimoji="1" lang="en-US" altLang="ja-JP" sz="1600"/>
            <a:t>)</a:t>
          </a:r>
          <a:endParaRPr kumimoji="1" lang="ja-JP" altLang="en-US" sz="1600"/>
        </a:p>
      </xdr:txBody>
    </xdr:sp>
    <xdr:clientData/>
  </xdr:twoCellAnchor>
  <xdr:twoCellAnchor>
    <xdr:from>
      <xdr:col>17</xdr:col>
      <xdr:colOff>542925</xdr:colOff>
      <xdr:row>11</xdr:row>
      <xdr:rowOff>114300</xdr:rowOff>
    </xdr:from>
    <xdr:to>
      <xdr:col>17</xdr:col>
      <xdr:colOff>542925</xdr:colOff>
      <xdr:row>16</xdr:row>
      <xdr:rowOff>200025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DE9DE93D-6B3A-4031-A95D-7A71364788A4}"/>
            </a:ext>
          </a:extLst>
        </xdr:cNvPr>
        <xdr:cNvCxnSpPr/>
      </xdr:nvCxnSpPr>
      <xdr:spPr>
        <a:xfrm>
          <a:off x="12201525" y="2733675"/>
          <a:ext cx="0" cy="127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400050</xdr:colOff>
      <xdr:row>13</xdr:row>
      <xdr:rowOff>180974</xdr:rowOff>
    </xdr:from>
    <xdr:to>
      <xdr:col>14</xdr:col>
      <xdr:colOff>514349</xdr:colOff>
      <xdr:row>30</xdr:row>
      <xdr:rowOff>9524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3A29B232-043F-41A3-9C9A-8E273413C5FA}"/>
            </a:ext>
          </a:extLst>
        </xdr:cNvPr>
        <xdr:cNvSpPr txBox="1"/>
      </xdr:nvSpPr>
      <xdr:spPr>
        <a:xfrm>
          <a:off x="2457450" y="3276599"/>
          <a:ext cx="7658099" cy="3876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800">
              <a:latin typeface="+mj-lt"/>
            </a:rPr>
            <a:t>y</a:t>
          </a:r>
          <a:r>
            <a:rPr kumimoji="1" lang="en-US" altLang="ja-JP" sz="1800" baseline="30000">
              <a:latin typeface="+mj-lt"/>
            </a:rPr>
            <a:t>2</a:t>
          </a:r>
          <a:r>
            <a:rPr kumimoji="1" lang="en-US" altLang="ja-JP" sz="1800">
              <a:latin typeface="+mj-lt"/>
            </a:rPr>
            <a:t>=x</a:t>
          </a:r>
          <a:r>
            <a:rPr kumimoji="1" lang="en-US" altLang="ja-JP" sz="1800" baseline="30000">
              <a:latin typeface="+mj-lt"/>
            </a:rPr>
            <a:t>3</a:t>
          </a:r>
          <a:r>
            <a:rPr kumimoji="1" lang="en-US" altLang="ja-JP" sz="1800">
              <a:latin typeface="+mj-lt"/>
            </a:rPr>
            <a:t>-x</a:t>
          </a:r>
          <a:r>
            <a:rPr kumimoji="1" lang="ja-JP" altLang="en-US" sz="1800">
              <a:latin typeface="+mj-lt"/>
            </a:rPr>
            <a:t>上の点を</a:t>
          </a:r>
          <a:r>
            <a:rPr kumimoji="1" lang="en-US" altLang="ja-JP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P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1</a:t>
          </a:r>
          <a:r>
            <a:rPr kumimoji="1" lang="en-US" altLang="ja-JP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(X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1</a:t>
          </a:r>
          <a:r>
            <a:rPr kumimoji="1" lang="en-US" altLang="ja-JP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,Y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1</a:t>
          </a:r>
          <a:r>
            <a:rPr kumimoji="1" lang="en-US" altLang="ja-JP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)</a:t>
          </a:r>
          <a:r>
            <a:rPr kumimoji="1" lang="ja-JP" altLang="en-US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とし、この点の接線の傾き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dx/dy(=</a:t>
          </a:r>
          <a:r>
            <a:rPr kumimoji="1" lang="en-US" altLang="ja-JP" sz="1800" i="1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φ</a:t>
          </a:r>
          <a:r>
            <a:rPr kumimoji="1" lang="en-US" altLang="ja-JP" sz="1800" i="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)</a:t>
          </a:r>
          <a:r>
            <a:rPr kumimoji="1" lang="ja-JP" altLang="en-US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は、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2y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1</a:t>
          </a:r>
          <a:r>
            <a:rPr kumimoji="1" lang="en-US" altLang="ja-JP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dy/dx=3x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1</a:t>
          </a:r>
          <a:r>
            <a:rPr kumimoji="1" lang="en-US" altLang="ja-JP" sz="1800" baseline="30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2</a:t>
          </a:r>
          <a:r>
            <a:rPr kumimoji="1" lang="en-US" altLang="ja-JP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-1</a:t>
          </a:r>
          <a:r>
            <a:rPr kumimoji="1" lang="ja-JP" altLang="en-US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より、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dx/dy=</a:t>
          </a:r>
          <a:r>
            <a:rPr kumimoji="1" lang="en-US" altLang="ja-JP" sz="1800" i="1" baseline="0">
              <a:solidFill>
                <a:srgbClr val="FF0000"/>
              </a:solidFill>
              <a:effectLst/>
              <a:latin typeface="+mj-lt"/>
              <a:ea typeface="+mn-ea"/>
              <a:cs typeface="+mn-cs"/>
            </a:rPr>
            <a:t>φ=</a:t>
          </a:r>
          <a:r>
            <a:rPr kumimoji="1" lang="en-US" altLang="ja-JP" sz="1800">
              <a:solidFill>
                <a:srgbClr val="FF0000"/>
              </a:solidFill>
              <a:effectLst/>
              <a:latin typeface="+mj-lt"/>
              <a:ea typeface="+mn-ea"/>
              <a:cs typeface="+mn-cs"/>
            </a:rPr>
            <a:t>3x</a:t>
          </a:r>
          <a:r>
            <a:rPr kumimoji="1" lang="en-US" altLang="ja-JP" sz="1800" baseline="-25000">
              <a:solidFill>
                <a:srgbClr val="FF0000"/>
              </a:solidFill>
              <a:effectLst/>
              <a:latin typeface="+mj-lt"/>
              <a:ea typeface="+mn-ea"/>
              <a:cs typeface="+mn-cs"/>
            </a:rPr>
            <a:t>1</a:t>
          </a:r>
          <a:r>
            <a:rPr kumimoji="1" lang="en-US" altLang="ja-JP" sz="1800" baseline="30000">
              <a:solidFill>
                <a:srgbClr val="FF0000"/>
              </a:solidFill>
              <a:effectLst/>
              <a:latin typeface="+mj-lt"/>
              <a:ea typeface="+mn-ea"/>
              <a:cs typeface="+mn-cs"/>
            </a:rPr>
            <a:t>2</a:t>
          </a:r>
          <a:r>
            <a:rPr kumimoji="1" lang="en-US" altLang="ja-JP" sz="1800">
              <a:solidFill>
                <a:srgbClr val="FF0000"/>
              </a:solidFill>
              <a:effectLst/>
              <a:latin typeface="+mj-lt"/>
              <a:ea typeface="+mn-ea"/>
              <a:cs typeface="+mn-cs"/>
            </a:rPr>
            <a:t>-1</a:t>
          </a:r>
          <a:r>
            <a:rPr kumimoji="1" lang="en-US" altLang="ja-JP" sz="1800" i="0" baseline="0">
              <a:solidFill>
                <a:srgbClr val="FF0000"/>
              </a:solidFill>
              <a:effectLst/>
              <a:latin typeface="+mj-lt"/>
              <a:ea typeface="+mn-ea"/>
              <a:cs typeface="+mn-cs"/>
            </a:rPr>
            <a:t>/2y</a:t>
          </a:r>
          <a:r>
            <a:rPr kumimoji="1" lang="en-US" altLang="ja-JP" sz="1800" i="0" baseline="-25000">
              <a:solidFill>
                <a:srgbClr val="FF0000"/>
              </a:solidFill>
              <a:effectLst/>
              <a:latin typeface="+mj-lt"/>
              <a:ea typeface="+mn-ea"/>
              <a:cs typeface="+mn-cs"/>
            </a:rPr>
            <a:t>1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800" i="0" baseline="0">
              <a:solidFill>
                <a:sysClr val="windowText" lastClr="000000"/>
              </a:solidFill>
              <a:effectLst/>
              <a:latin typeface="+mj-lt"/>
              <a:ea typeface="+mn-ea"/>
              <a:cs typeface="+mn-cs"/>
            </a:rPr>
            <a:t>接線の式は</a:t>
          </a:r>
          <a:r>
            <a:rPr kumimoji="1" lang="en-US" altLang="ja-JP" sz="1800" i="0" baseline="0">
              <a:solidFill>
                <a:sysClr val="windowText" lastClr="000000"/>
              </a:solidFill>
              <a:effectLst/>
              <a:latin typeface="+mj-lt"/>
              <a:ea typeface="+mn-ea"/>
              <a:cs typeface="+mn-cs"/>
            </a:rPr>
            <a:t>y=</a:t>
          </a:r>
          <a:r>
            <a:rPr kumimoji="1" lang="en-US" altLang="ja-JP" sz="1800" i="1" baseline="0">
              <a:solidFill>
                <a:sysClr val="windowText" lastClr="000000"/>
              </a:solidFill>
              <a:effectLst/>
              <a:latin typeface="+mj-lt"/>
              <a:ea typeface="+mn-ea"/>
              <a:cs typeface="+mn-cs"/>
            </a:rPr>
            <a:t>φ</a:t>
          </a:r>
          <a:r>
            <a:rPr kumimoji="1" lang="en-US" altLang="ja-JP" sz="1800" i="0" baseline="0">
              <a:solidFill>
                <a:sysClr val="windowText" lastClr="000000"/>
              </a:solidFill>
              <a:effectLst/>
              <a:latin typeface="+mj-lt"/>
              <a:ea typeface="+mn-ea"/>
              <a:cs typeface="+mn-cs"/>
            </a:rPr>
            <a:t>(x-x</a:t>
          </a:r>
          <a:r>
            <a:rPr kumimoji="1" lang="en-US" altLang="ja-JP" sz="1800" i="0" baseline="-25000">
              <a:solidFill>
                <a:sysClr val="windowText" lastClr="000000"/>
              </a:solidFill>
              <a:effectLst/>
              <a:latin typeface="+mj-lt"/>
              <a:ea typeface="+mn-ea"/>
              <a:cs typeface="+mn-cs"/>
            </a:rPr>
            <a:t>1</a:t>
          </a:r>
          <a:r>
            <a:rPr kumimoji="1" lang="en-US" altLang="ja-JP" sz="1800" i="0" baseline="0">
              <a:solidFill>
                <a:sysClr val="windowText" lastClr="000000"/>
              </a:solidFill>
              <a:effectLst/>
              <a:latin typeface="+mj-lt"/>
              <a:ea typeface="+mn-ea"/>
              <a:cs typeface="+mn-cs"/>
            </a:rPr>
            <a:t>)+y</a:t>
          </a:r>
          <a:r>
            <a:rPr kumimoji="1" lang="en-US" altLang="ja-JP" sz="1800" i="0" baseline="-25000">
              <a:solidFill>
                <a:sysClr val="windowText" lastClr="000000"/>
              </a:solidFill>
              <a:effectLst/>
              <a:latin typeface="+mj-lt"/>
              <a:ea typeface="+mn-ea"/>
              <a:cs typeface="+mn-cs"/>
            </a:rPr>
            <a:t>1</a:t>
          </a:r>
          <a:r>
            <a:rPr kumimoji="1" lang="ja-JP" altLang="en-US" sz="1800" i="0" baseline="0">
              <a:solidFill>
                <a:sysClr val="windowText" lastClr="000000"/>
              </a:solidFill>
              <a:effectLst/>
              <a:latin typeface="+mj-lt"/>
              <a:ea typeface="+mn-ea"/>
              <a:cs typeface="+mn-cs"/>
            </a:rPr>
            <a:t>となり、</a:t>
          </a:r>
          <a:endParaRPr lang="ja-JP" altLang="ja-JP" sz="1800" baseline="0">
            <a:solidFill>
              <a:sysClr val="windowText" lastClr="000000"/>
            </a:solidFill>
            <a:effectLst/>
            <a:latin typeface="+mj-lt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y</a:t>
          </a:r>
          <a:r>
            <a:rPr kumimoji="1" lang="en-US" altLang="ja-JP" sz="1800" baseline="30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2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=x</a:t>
          </a:r>
          <a:r>
            <a:rPr kumimoji="1" lang="en-US" altLang="ja-JP" sz="1800" baseline="30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3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-x</a:t>
          </a:r>
          <a:r>
            <a:rPr kumimoji="1" lang="ja-JP" altLang="en-US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との交点は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y</a:t>
          </a:r>
          <a:r>
            <a:rPr kumimoji="1" lang="ja-JP" altLang="en-US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を消去して、</a:t>
          </a:r>
          <a:r>
            <a:rPr kumimoji="1" lang="en-US" altLang="ja-JP" sz="1800" i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(</a:t>
          </a:r>
          <a:r>
            <a:rPr kumimoji="1" lang="en-US" altLang="ja-JP" sz="1800" i="1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φ</a:t>
          </a:r>
          <a:r>
            <a:rPr kumimoji="1" lang="en-US" altLang="ja-JP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(x-x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1</a:t>
          </a:r>
          <a:r>
            <a:rPr kumimoji="1" lang="en-US" altLang="ja-JP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)+y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1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)</a:t>
          </a:r>
          <a:r>
            <a:rPr kumimoji="1" lang="en-US" altLang="ja-JP" sz="1800" baseline="30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2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=</a:t>
          </a:r>
          <a:r>
            <a:rPr kumimoji="1" lang="en-US" altLang="ja-JP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x</a:t>
          </a:r>
          <a:r>
            <a:rPr kumimoji="1" lang="en-US" altLang="ja-JP" sz="1800" baseline="30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3</a:t>
          </a:r>
          <a:r>
            <a:rPr kumimoji="1" lang="en-US" altLang="ja-JP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-x</a:t>
          </a:r>
          <a:endParaRPr kumimoji="1" lang="ja-JP" altLang="en-US" sz="1800" baseline="0">
            <a:solidFill>
              <a:schemeClr val="dk1"/>
            </a:solidFill>
            <a:effectLst/>
            <a:latin typeface="+mj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800" baseline="0">
              <a:effectLst/>
              <a:latin typeface="+mj-lt"/>
            </a:rPr>
            <a:t>展開して式を整理すると、</a:t>
          </a:r>
          <a:r>
            <a:rPr kumimoji="1" lang="en-US" altLang="ja-JP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x</a:t>
          </a:r>
          <a:r>
            <a:rPr kumimoji="1" lang="en-US" altLang="ja-JP" sz="1800" baseline="30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3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-</a:t>
          </a:r>
          <a:r>
            <a:rPr kumimoji="1" lang="en-US" altLang="ja-JP" sz="1800" i="1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φ</a:t>
          </a:r>
          <a:r>
            <a:rPr kumimoji="1" lang="en-US" altLang="ja-JP" sz="1800" i="0" baseline="30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2</a:t>
          </a:r>
          <a:r>
            <a:rPr kumimoji="1" lang="en-US" altLang="ja-JP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x</a:t>
          </a:r>
          <a:r>
            <a:rPr kumimoji="1" lang="en-US" altLang="ja-JP" sz="1800" baseline="30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2</a:t>
          </a:r>
          <a:r>
            <a:rPr kumimoji="1" lang="en-US" altLang="ja-JP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+</a:t>
          </a:r>
          <a:r>
            <a:rPr kumimoji="1" lang="ja-JP" altLang="en-US" sz="18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・・・略</a:t>
          </a:r>
          <a:endParaRPr lang="ja-JP" altLang="en-US" sz="1800" baseline="0">
            <a:effectLst/>
            <a:latin typeface="+mj-lt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800" baseline="0">
              <a:effectLst/>
              <a:latin typeface="+mj-lt"/>
            </a:rPr>
            <a:t>またこの</a:t>
          </a:r>
          <a:r>
            <a:rPr lang="en-US" altLang="ja-JP" sz="1800" baseline="0">
              <a:effectLst/>
              <a:latin typeface="+mj-lt"/>
            </a:rPr>
            <a:t>X</a:t>
          </a:r>
          <a:r>
            <a:rPr lang="ja-JP" altLang="en-US" sz="1800" baseline="0">
              <a:effectLst/>
              <a:latin typeface="+mj-lt"/>
            </a:rPr>
            <a:t>についての</a:t>
          </a:r>
          <a:r>
            <a:rPr lang="en-US" altLang="ja-JP" sz="1800" baseline="0">
              <a:effectLst/>
              <a:latin typeface="+mj-lt"/>
            </a:rPr>
            <a:t>3</a:t>
          </a:r>
          <a:r>
            <a:rPr lang="ja-JP" altLang="en-US" sz="1800" baseline="0">
              <a:effectLst/>
              <a:latin typeface="+mj-lt"/>
            </a:rPr>
            <a:t>次方程式は、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X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1</a:t>
          </a:r>
          <a:r>
            <a:rPr kumimoji="1" lang="ja-JP" altLang="en-US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、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X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4</a:t>
          </a:r>
          <a:r>
            <a:rPr kumimoji="1" lang="ja-JP" altLang="en-US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の解をもつことから、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(x-x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1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)</a:t>
          </a:r>
          <a:r>
            <a:rPr kumimoji="1" lang="en-US" altLang="ja-JP" sz="1800" baseline="30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2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(x-x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4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)=0</a:t>
          </a:r>
          <a:r>
            <a:rPr kumimoji="1" lang="ja-JP" altLang="en-US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　となる。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X</a:t>
          </a:r>
          <a:r>
            <a:rPr kumimoji="1" lang="ja-JP" altLang="en-US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の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2</a:t>
          </a:r>
          <a:r>
            <a:rPr kumimoji="1" lang="ja-JP" altLang="en-US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次の係数は、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-(2x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1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+x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4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)</a:t>
          </a:r>
          <a:r>
            <a:rPr kumimoji="1" lang="ja-JP" altLang="en-US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となるため、</a:t>
          </a:r>
          <a:r>
            <a:rPr kumimoji="1" lang="en-US" altLang="ja-JP" sz="1800" i="1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φ</a:t>
          </a:r>
          <a:r>
            <a:rPr kumimoji="1" lang="en-US" altLang="ja-JP" sz="1800" baseline="300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2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=2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en-US" altLang="ja-JP" sz="1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+x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kumimoji="1" lang="ja-JP" altLang="en-US" sz="18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ja-JP" altLang="en-US" sz="1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より</a:t>
          </a:r>
          <a:r>
            <a:rPr kumimoji="1" lang="ja-JP" altLang="en-US" sz="18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8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kumimoji="1" lang="en-US" altLang="ja-JP" sz="1800" baseline="-25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kumimoji="1" lang="en-US" altLang="ja-JP" sz="18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kumimoji="1" lang="en-US" altLang="ja-JP" sz="1800" i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φ</a:t>
          </a:r>
          <a:r>
            <a:rPr kumimoji="1" lang="en-US" altLang="ja-JP" sz="1800" baseline="30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kumimoji="1" lang="en-US" altLang="ja-JP" sz="18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-2X</a:t>
          </a:r>
          <a:r>
            <a:rPr kumimoji="1" lang="en-US" altLang="ja-JP" sz="1800" baseline="-25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</a:t>
          </a:r>
          <a:endParaRPr kumimoji="1" lang="ja-JP" altLang="en-US" sz="1800" baseline="-250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-y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kumimoji="1" lang="en-US" altLang="ja-JP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kumimoji="1" lang="en-US" altLang="ja-JP" sz="18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φ</a:t>
          </a:r>
          <a:r>
            <a:rPr kumimoji="1" lang="en-US" altLang="ja-JP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(x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kumimoji="1" lang="en-US" altLang="ja-JP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-x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en-US" altLang="ja-JP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)+y</a:t>
          </a:r>
          <a:r>
            <a:rPr kumimoji="1" lang="en-US" altLang="ja-JP" sz="18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ja-JP" altLang="en-US" sz="18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ja-JP" altLang="en-US" sz="1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より　</a:t>
          </a:r>
          <a:r>
            <a:rPr kumimoji="1" lang="en-US" altLang="ja-JP" sz="18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y</a:t>
          </a:r>
          <a:r>
            <a:rPr kumimoji="1" lang="en-US" altLang="ja-JP" sz="1800" baseline="-25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kumimoji="1" lang="en-US" altLang="ja-JP" sz="18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=-</a:t>
          </a:r>
          <a:r>
            <a:rPr kumimoji="1" lang="en-US" altLang="ja-JP" sz="1800" i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φx</a:t>
          </a:r>
          <a:r>
            <a:rPr kumimoji="1" lang="en-US" altLang="ja-JP" sz="1800" i="1" baseline="-25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kumimoji="1" lang="en-US" altLang="ja-JP" sz="18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kumimoji="1" lang="en-US" altLang="ja-JP" sz="1800" i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ψ</a:t>
          </a:r>
          <a:r>
            <a:rPr kumimoji="1" lang="ja-JP" altLang="en-US" sz="1800" i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800" i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ψ</a:t>
          </a:r>
          <a:r>
            <a:rPr kumimoji="1" lang="en-US" altLang="ja-JP" sz="180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=-3x</a:t>
          </a:r>
          <a:r>
            <a:rPr kumimoji="1" lang="en-US" altLang="ja-JP" sz="1800" i="0" baseline="-25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en-US" altLang="ja-JP" sz="1800" i="0" baseline="30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kumimoji="1" lang="en-US" altLang="ja-JP" sz="180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+x</a:t>
          </a:r>
          <a:r>
            <a:rPr kumimoji="1" lang="en-US" altLang="ja-JP" sz="1800" i="0" baseline="-25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en-US" altLang="ja-JP" sz="180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+2y</a:t>
          </a:r>
          <a:r>
            <a:rPr kumimoji="1" lang="en-US" altLang="ja-JP" sz="1800" i="0" baseline="-25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en-US" altLang="ja-JP" sz="1800" i="0" baseline="30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kumimoji="1" lang="en-US" altLang="ja-JP" sz="180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/2y</a:t>
          </a:r>
          <a:r>
            <a:rPr kumimoji="1" lang="en-US" altLang="ja-JP" sz="1800" i="0" baseline="-25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</a:t>
          </a:r>
          <a:endParaRPr lang="ja-JP" altLang="ja-JP" sz="1800" i="0" baseline="-25000">
            <a:effectLst/>
            <a:latin typeface="+mj-lt"/>
          </a:endParaRPr>
        </a:p>
      </xdr:txBody>
    </xdr:sp>
    <xdr:clientData/>
  </xdr:twoCellAnchor>
  <xdr:twoCellAnchor>
    <xdr:from>
      <xdr:col>12</xdr:col>
      <xdr:colOff>552450</xdr:colOff>
      <xdr:row>12</xdr:row>
      <xdr:rowOff>142875</xdr:rowOff>
    </xdr:from>
    <xdr:to>
      <xdr:col>13</xdr:col>
      <xdr:colOff>590550</xdr:colOff>
      <xdr:row>13</xdr:row>
      <xdr:rowOff>38100</xdr:rowOff>
    </xdr:to>
    <xdr:sp macro="" textlink="">
      <xdr:nvSpPr>
        <xdr:cNvPr id="14" name="矢印: 右 13">
          <a:extLst>
            <a:ext uri="{FF2B5EF4-FFF2-40B4-BE49-F238E27FC236}">
              <a16:creationId xmlns:a16="http://schemas.microsoft.com/office/drawing/2014/main" id="{5EEA1AFE-64FF-4FE3-A481-73FCF2BAF9AE}"/>
            </a:ext>
          </a:extLst>
        </xdr:cNvPr>
        <xdr:cNvSpPr/>
      </xdr:nvSpPr>
      <xdr:spPr>
        <a:xfrm>
          <a:off x="8782050" y="3000375"/>
          <a:ext cx="723900" cy="1333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570571</xdr:colOff>
      <xdr:row>20</xdr:row>
      <xdr:rowOff>218452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4CDD511-66DE-F591-B7AD-1C973A187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28571" cy="4980952"/>
        </a:xfrm>
        <a:prstGeom prst="rect">
          <a:avLst/>
        </a:prstGeom>
      </xdr:spPr>
    </xdr:pic>
    <xdr:clientData/>
  </xdr:twoCellAnchor>
  <xdr:twoCellAnchor>
    <xdr:from>
      <xdr:col>5</xdr:col>
      <xdr:colOff>676275</xdr:colOff>
      <xdr:row>6</xdr:row>
      <xdr:rowOff>0</xdr:rowOff>
    </xdr:from>
    <xdr:to>
      <xdr:col>15</xdr:col>
      <xdr:colOff>619125</xdr:colOff>
      <xdr:row>19</xdr:row>
      <xdr:rowOff>180975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DFB7FE52-8A7A-F051-8D44-D831DEB174A1}"/>
            </a:ext>
          </a:extLst>
        </xdr:cNvPr>
        <xdr:cNvSpPr txBox="1"/>
      </xdr:nvSpPr>
      <xdr:spPr>
        <a:xfrm>
          <a:off x="4105275" y="1428750"/>
          <a:ext cx="6800850" cy="3276600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800">
              <a:latin typeface="+mj-lt"/>
            </a:rPr>
            <a:t>実数平面での演算について成立する計算式は、</a:t>
          </a:r>
        </a:p>
        <a:p>
          <a:r>
            <a:rPr kumimoji="1" lang="ja-JP" altLang="en-US" sz="1800">
              <a:latin typeface="+mj-lt"/>
            </a:rPr>
            <a:t>剰余系で定義された元でも成立することを表しています。</a:t>
          </a:r>
        </a:p>
        <a:p>
          <a:r>
            <a:rPr kumimoji="1" lang="ja-JP" altLang="en-US" sz="1800">
              <a:latin typeface="+mj-lt"/>
            </a:rPr>
            <a:t>従って加算</a:t>
          </a:r>
          <a:r>
            <a:rPr kumimoji="1" lang="en-US" altLang="ja-JP" sz="1800">
              <a:latin typeface="+mj-lt"/>
            </a:rPr>
            <a:t>1</a:t>
          </a:r>
          <a:r>
            <a:rPr kumimoji="1" lang="ja-JP" altLang="en-US" sz="1800">
              <a:latin typeface="+mj-lt"/>
            </a:rPr>
            <a:t>、</a:t>
          </a:r>
          <a:r>
            <a:rPr kumimoji="1" lang="en-US" altLang="ja-JP" sz="1800">
              <a:latin typeface="+mj-lt"/>
            </a:rPr>
            <a:t>2</a:t>
          </a:r>
          <a:r>
            <a:rPr kumimoji="1" lang="ja-JP" altLang="en-US" sz="1800">
              <a:latin typeface="+mj-lt"/>
            </a:rPr>
            <a:t>で求めた式と同じ式となっています。</a:t>
          </a:r>
        </a:p>
        <a:p>
          <a:endParaRPr kumimoji="1" lang="ja-JP" altLang="en-US" sz="1800">
            <a:latin typeface="+mj-lt"/>
          </a:endParaRPr>
        </a:p>
        <a:p>
          <a:r>
            <a:rPr kumimoji="1" lang="ja-JP" altLang="en-US" sz="1800">
              <a:solidFill>
                <a:srgbClr val="FF0000"/>
              </a:solidFill>
              <a:latin typeface="+mj-lt"/>
            </a:rPr>
            <a:t>ただし、剰余系での逆元の求め方については、</a:t>
          </a:r>
        </a:p>
        <a:p>
          <a:r>
            <a:rPr kumimoji="1" lang="ja-JP" altLang="en-US" sz="1800">
              <a:solidFill>
                <a:srgbClr val="FF0000"/>
              </a:solidFill>
              <a:latin typeface="+mj-lt"/>
            </a:rPr>
            <a:t>一般的な四則演算での逆元と異なるため、</a:t>
          </a:r>
        </a:p>
        <a:p>
          <a:r>
            <a:rPr kumimoji="1" lang="ja-JP" altLang="en-US" sz="1800">
              <a:solidFill>
                <a:srgbClr val="FF0000"/>
              </a:solidFill>
              <a:latin typeface="+mj-lt"/>
            </a:rPr>
            <a:t>次のシート以下で補足していきます。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675333</xdr:colOff>
      <xdr:row>17</xdr:row>
      <xdr:rowOff>132827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A7A9AD7-B0B6-B7C8-E31F-1C33E6FBF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533333" cy="4180952"/>
        </a:xfrm>
        <a:prstGeom prst="rect">
          <a:avLst/>
        </a:prstGeom>
      </xdr:spPr>
    </xdr:pic>
    <xdr:clientData/>
  </xdr:twoCellAnchor>
  <xdr:twoCellAnchor>
    <xdr:from>
      <xdr:col>0</xdr:col>
      <xdr:colOff>104776</xdr:colOff>
      <xdr:row>8</xdr:row>
      <xdr:rowOff>28575</xdr:rowOff>
    </xdr:from>
    <xdr:to>
      <xdr:col>5</xdr:col>
      <xdr:colOff>504826</xdr:colOff>
      <xdr:row>9</xdr:row>
      <xdr:rowOff>152400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A52C7AEC-2063-469B-9424-51D088CB3AB6}"/>
            </a:ext>
          </a:extLst>
        </xdr:cNvPr>
        <xdr:cNvSpPr/>
      </xdr:nvSpPr>
      <xdr:spPr>
        <a:xfrm>
          <a:off x="104776" y="1933575"/>
          <a:ext cx="3829050" cy="3619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114300</xdr:colOff>
      <xdr:row>3</xdr:row>
      <xdr:rowOff>57150</xdr:rowOff>
    </xdr:from>
    <xdr:to>
      <xdr:col>20</xdr:col>
      <xdr:colOff>304800</xdr:colOff>
      <xdr:row>22</xdr:row>
      <xdr:rowOff>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FB4D2FD0-3249-8469-07BE-E430E7C41363}"/>
            </a:ext>
          </a:extLst>
        </xdr:cNvPr>
        <xdr:cNvSpPr txBox="1"/>
      </xdr:nvSpPr>
      <xdr:spPr>
        <a:xfrm>
          <a:off x="7658100" y="771525"/>
          <a:ext cx="6362700" cy="446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800"/>
            <a:t>(u/v)</a:t>
          </a:r>
          <a:r>
            <a:rPr kumimoji="1" lang="ja-JP" altLang="en-US" sz="1800" baseline="0"/>
            <a:t> </a:t>
          </a:r>
          <a:r>
            <a:rPr kumimoji="1" lang="en-US" altLang="ja-JP" sz="1800" baseline="0"/>
            <a:t>mod p = (u mpd p)(v mod p)</a:t>
          </a:r>
          <a:r>
            <a:rPr kumimoji="1" lang="en-US" altLang="ja-JP" sz="1800" baseline="30000"/>
            <a:t>-1 </a:t>
          </a:r>
          <a:r>
            <a:rPr kumimoji="1" lang="en-US" altLang="ja-JP" sz="1800" baseline="0"/>
            <a:t>mod p</a:t>
          </a:r>
          <a:endParaRPr kumimoji="1" lang="ja-JP" altLang="en-US" sz="1800" baseline="0"/>
        </a:p>
        <a:p>
          <a:r>
            <a:rPr kumimoji="1" lang="ja-JP" altLang="en-US" sz="1800" baseline="0"/>
            <a:t>上記式の意味は下記となります。</a:t>
          </a:r>
        </a:p>
        <a:p>
          <a:r>
            <a:rPr kumimoji="1" lang="en-US" altLang="ja-JP" sz="1800" baseline="0"/>
            <a:t>u/v</a:t>
          </a:r>
          <a:r>
            <a:rPr kumimoji="1" lang="ja-JP" altLang="en-US" sz="1800" baseline="0"/>
            <a:t>の剰余は、</a:t>
          </a:r>
        </a:p>
        <a:p>
          <a:r>
            <a:rPr kumimoji="1" lang="en-US" altLang="ja-JP" sz="1800" baseline="0"/>
            <a:t>(u</a:t>
          </a:r>
          <a:r>
            <a:rPr kumimoji="1" lang="ja-JP" altLang="en-US" sz="1800" baseline="0"/>
            <a:t>の剰余</a:t>
          </a:r>
          <a:r>
            <a:rPr kumimoji="1" lang="en-US" altLang="ja-JP" sz="1800" baseline="0"/>
            <a:t>)</a:t>
          </a:r>
          <a:r>
            <a:rPr kumimoji="1" lang="ja-JP" altLang="en-US" sz="1800" baseline="0"/>
            <a:t>と</a:t>
          </a:r>
          <a:r>
            <a:rPr kumimoji="1" lang="en-US" altLang="ja-JP" sz="1800" baseline="0"/>
            <a:t>(v</a:t>
          </a:r>
          <a:r>
            <a:rPr kumimoji="1" lang="ja-JP" altLang="en-US" sz="1800" baseline="0"/>
            <a:t>の剰余の逆元</a:t>
          </a:r>
          <a:r>
            <a:rPr kumimoji="1" lang="en-US" altLang="ja-JP" sz="1800" baseline="0"/>
            <a:t>)</a:t>
          </a:r>
          <a:r>
            <a:rPr kumimoji="1" lang="ja-JP" altLang="en-US" sz="1800" baseline="0"/>
            <a:t>の積の剰余と一致</a:t>
          </a:r>
        </a:p>
        <a:p>
          <a:endParaRPr kumimoji="1" lang="en-US" altLang="ja-JP" sz="1800" baseline="0"/>
        </a:p>
        <a:p>
          <a:r>
            <a:rPr kumimoji="1" lang="en-US" altLang="ja-JP" sz="1800" baseline="0">
              <a:solidFill>
                <a:srgbClr val="FF0000"/>
              </a:solidFill>
            </a:rPr>
            <a:t>u</a:t>
          </a:r>
          <a:r>
            <a:rPr kumimoji="1" lang="ja-JP" altLang="en-US" sz="1800" baseline="0">
              <a:solidFill>
                <a:srgbClr val="FF0000"/>
              </a:solidFill>
            </a:rPr>
            <a:t>、</a:t>
          </a:r>
          <a:r>
            <a:rPr kumimoji="1" lang="en-US" altLang="ja-JP" sz="1800" baseline="0">
              <a:solidFill>
                <a:srgbClr val="FF0000"/>
              </a:solidFill>
            </a:rPr>
            <a:t>v</a:t>
          </a:r>
          <a:r>
            <a:rPr kumimoji="1" lang="ja-JP" altLang="en-US" sz="1800" baseline="0">
              <a:solidFill>
                <a:srgbClr val="FF0000"/>
              </a:solidFill>
            </a:rPr>
            <a:t>を整数とした場合、</a:t>
          </a:r>
        </a:p>
        <a:p>
          <a:r>
            <a:rPr kumimoji="1" lang="ja-JP" altLang="en-US" sz="1800" baseline="0">
              <a:solidFill>
                <a:srgbClr val="FF0000"/>
              </a:solidFill>
            </a:rPr>
            <a:t>一般的な計算での除算の結果は、</a:t>
          </a:r>
        </a:p>
        <a:p>
          <a:r>
            <a:rPr kumimoji="1" lang="ja-JP" altLang="en-US" sz="1800" baseline="0">
              <a:solidFill>
                <a:srgbClr val="FF0000"/>
              </a:solidFill>
            </a:rPr>
            <a:t>整数とならないが、</a:t>
          </a:r>
        </a:p>
        <a:p>
          <a:r>
            <a:rPr kumimoji="1" lang="ja-JP" altLang="en-US" sz="1800">
              <a:solidFill>
                <a:srgbClr val="FF0000"/>
              </a:solidFill>
            </a:rPr>
            <a:t>剰余系では、逆元の考え方が異なるため、</a:t>
          </a:r>
        </a:p>
        <a:p>
          <a:r>
            <a:rPr kumimoji="1" lang="ja-JP" altLang="en-US" sz="1800">
              <a:solidFill>
                <a:srgbClr val="FF0000"/>
              </a:solidFill>
            </a:rPr>
            <a:t>除算の結果が整数となる。</a:t>
          </a:r>
        </a:p>
        <a:p>
          <a:r>
            <a:rPr kumimoji="1" lang="ja-JP" altLang="en-US" sz="1800"/>
            <a:t>次のシートで計算方法を示す。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380999</xdr:colOff>
      <xdr:row>2</xdr:row>
      <xdr:rowOff>209550</xdr:rowOff>
    </xdr:from>
    <xdr:to>
      <xdr:col>11</xdr:col>
      <xdr:colOff>314324</xdr:colOff>
      <xdr:row>14</xdr:row>
      <xdr:rowOff>133350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2BFBCD5F-17A6-A272-0EE4-3D1AC5583A85}"/>
            </a:ext>
          </a:extLst>
        </xdr:cNvPr>
        <xdr:cNvSpPr txBox="1"/>
      </xdr:nvSpPr>
      <xdr:spPr>
        <a:xfrm>
          <a:off x="1752599" y="695325"/>
          <a:ext cx="6105525" cy="2809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800">
              <a:latin typeface="+mj-lt"/>
            </a:rPr>
            <a:t>61</a:t>
          </a:r>
          <a:r>
            <a:rPr kumimoji="1" lang="ja-JP" altLang="en-US" sz="1800">
              <a:latin typeface="+mj-lt"/>
            </a:rPr>
            <a:t>の剰余系において、</a:t>
          </a:r>
          <a:r>
            <a:rPr kumimoji="1" lang="en-US" altLang="ja-JP" sz="1800">
              <a:latin typeface="+mj-lt"/>
            </a:rPr>
            <a:t>22</a:t>
          </a:r>
          <a:r>
            <a:rPr kumimoji="1" lang="ja-JP" altLang="en-US" sz="1800">
              <a:latin typeface="+mj-lt"/>
            </a:rPr>
            <a:t>の逆元を求めるには、</a:t>
          </a:r>
        </a:p>
        <a:p>
          <a:r>
            <a:rPr kumimoji="1" lang="ja-JP" altLang="en-US" sz="1800">
              <a:latin typeface="+mj-lt"/>
            </a:rPr>
            <a:t>まず</a:t>
          </a:r>
          <a:r>
            <a:rPr kumimoji="1" lang="en-US" altLang="ja-JP" sz="1800">
              <a:latin typeface="+mj-lt"/>
            </a:rPr>
            <a:t>1</a:t>
          </a:r>
          <a:r>
            <a:rPr kumimoji="1" lang="ja-JP" altLang="en-US" sz="1800">
              <a:latin typeface="+mj-lt"/>
            </a:rPr>
            <a:t>から</a:t>
          </a:r>
          <a:r>
            <a:rPr kumimoji="1" lang="en-US" altLang="ja-JP" sz="1800">
              <a:latin typeface="+mj-lt"/>
            </a:rPr>
            <a:t>60</a:t>
          </a:r>
          <a:r>
            <a:rPr kumimoji="1" lang="ja-JP" altLang="en-US" sz="1800">
              <a:latin typeface="+mj-lt"/>
            </a:rPr>
            <a:t>の数値と</a:t>
          </a:r>
          <a:r>
            <a:rPr kumimoji="1" lang="en-US" altLang="ja-JP" sz="1800">
              <a:latin typeface="+mj-lt"/>
            </a:rPr>
            <a:t>22</a:t>
          </a:r>
          <a:r>
            <a:rPr kumimoji="1" lang="ja-JP" altLang="en-US" sz="1800">
              <a:latin typeface="+mj-lt"/>
            </a:rPr>
            <a:t>との積</a:t>
          </a:r>
        </a:p>
        <a:p>
          <a:r>
            <a:rPr kumimoji="1" lang="en-US" altLang="ja-JP" sz="1800">
              <a:latin typeface="+mj-lt"/>
            </a:rPr>
            <a:t>(61</a:t>
          </a:r>
          <a:r>
            <a:rPr kumimoji="1" lang="ja-JP" altLang="en-US" sz="1800">
              <a:latin typeface="+mj-lt"/>
            </a:rPr>
            <a:t>の剰余系であることに注意</a:t>
          </a:r>
          <a:r>
            <a:rPr kumimoji="1" lang="en-US" altLang="ja-JP" sz="1800">
              <a:latin typeface="+mj-lt"/>
            </a:rPr>
            <a:t>)</a:t>
          </a:r>
          <a:r>
            <a:rPr kumimoji="1" lang="ja-JP" altLang="en-US" sz="1800">
              <a:latin typeface="+mj-lt"/>
            </a:rPr>
            <a:t>を求め、</a:t>
          </a:r>
        </a:p>
        <a:p>
          <a:r>
            <a:rPr kumimoji="1" lang="ja-JP" altLang="en-US" sz="1800">
              <a:latin typeface="+mj-lt"/>
            </a:rPr>
            <a:t>結果が</a:t>
          </a:r>
          <a:r>
            <a:rPr kumimoji="1" lang="en-US" altLang="ja-JP" sz="1800">
              <a:latin typeface="+mj-lt"/>
            </a:rPr>
            <a:t>1</a:t>
          </a:r>
          <a:r>
            <a:rPr kumimoji="1" lang="ja-JP" altLang="en-US" sz="1800">
              <a:latin typeface="+mj-lt"/>
            </a:rPr>
            <a:t>となる数値を探す。</a:t>
          </a:r>
        </a:p>
        <a:p>
          <a:r>
            <a:rPr kumimoji="1" lang="ja-JP" altLang="en-US" sz="1800">
              <a:latin typeface="+mj-lt"/>
            </a:rPr>
            <a:t>この場合</a:t>
          </a:r>
          <a:r>
            <a:rPr kumimoji="1" lang="en-US" altLang="ja-JP" sz="1800">
              <a:latin typeface="+mj-lt"/>
            </a:rPr>
            <a:t>25</a:t>
          </a:r>
          <a:r>
            <a:rPr kumimoji="1" lang="ja-JP" altLang="en-US" sz="1800">
              <a:latin typeface="+mj-lt"/>
            </a:rPr>
            <a:t>*</a:t>
          </a:r>
          <a:r>
            <a:rPr kumimoji="1" lang="en-US" altLang="ja-JP" sz="1800">
              <a:latin typeface="+mj-lt"/>
            </a:rPr>
            <a:t>22</a:t>
          </a:r>
          <a:r>
            <a:rPr kumimoji="1" lang="ja-JP" altLang="en-US" sz="1800">
              <a:latin typeface="+mj-lt"/>
            </a:rPr>
            <a:t>　</a:t>
          </a:r>
          <a:r>
            <a:rPr kumimoji="1" lang="en-US" altLang="ja-JP" sz="1800">
              <a:latin typeface="+mj-lt"/>
            </a:rPr>
            <a:t>mod61</a:t>
          </a:r>
          <a:r>
            <a:rPr kumimoji="1" lang="ja-JP" altLang="en-US" sz="1800">
              <a:latin typeface="+mj-lt"/>
            </a:rPr>
            <a:t>　が</a:t>
          </a:r>
          <a:r>
            <a:rPr kumimoji="1" lang="en-US" altLang="ja-JP" sz="1800">
              <a:latin typeface="+mj-lt"/>
            </a:rPr>
            <a:t>1</a:t>
          </a:r>
          <a:r>
            <a:rPr kumimoji="1" lang="ja-JP" altLang="en-US" sz="1800">
              <a:latin typeface="+mj-lt"/>
            </a:rPr>
            <a:t>となるため、</a:t>
          </a:r>
        </a:p>
        <a:p>
          <a:r>
            <a:rPr kumimoji="1" lang="en-US" altLang="ja-JP" sz="1800">
              <a:latin typeface="+mj-lt"/>
            </a:rPr>
            <a:t>22</a:t>
          </a:r>
          <a:r>
            <a:rPr kumimoji="1" lang="ja-JP" altLang="en-US" sz="1800">
              <a:latin typeface="+mj-lt"/>
            </a:rPr>
            <a:t>の逆元は</a:t>
          </a:r>
          <a:r>
            <a:rPr kumimoji="1" lang="en-US" altLang="ja-JP" sz="1800">
              <a:latin typeface="+mj-lt"/>
            </a:rPr>
            <a:t>25</a:t>
          </a:r>
          <a:r>
            <a:rPr kumimoji="1" lang="ja-JP" altLang="en-US" sz="1800">
              <a:latin typeface="+mj-lt"/>
            </a:rPr>
            <a:t>となる、</a:t>
          </a:r>
          <a:r>
            <a:rPr kumimoji="1" lang="en-US" altLang="ja-JP" sz="1800">
              <a:latin typeface="+mj-lt"/>
            </a:rPr>
            <a:t>25</a:t>
          </a:r>
          <a:r>
            <a:rPr kumimoji="1" lang="ja-JP" altLang="en-US" sz="1800">
              <a:latin typeface="+mj-lt"/>
            </a:rPr>
            <a:t>の逆元も</a:t>
          </a:r>
          <a:r>
            <a:rPr kumimoji="1" lang="en-US" altLang="ja-JP" sz="1800">
              <a:latin typeface="+mj-lt"/>
            </a:rPr>
            <a:t>22</a:t>
          </a:r>
          <a:endParaRPr kumimoji="1" lang="ja-JP" altLang="en-US" sz="1800">
            <a:latin typeface="+mj-lt"/>
          </a:endParaRPr>
        </a:p>
        <a:p>
          <a:endParaRPr kumimoji="1" lang="ja-JP" alt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647700</xdr:colOff>
      <xdr:row>1</xdr:row>
      <xdr:rowOff>123825</xdr:rowOff>
    </xdr:from>
    <xdr:to>
      <xdr:col>25</xdr:col>
      <xdr:colOff>246500</xdr:colOff>
      <xdr:row>25</xdr:row>
      <xdr:rowOff>113587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7F185AD-9088-454D-A977-BB560520C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0075" y="4410075"/>
          <a:ext cx="9200000" cy="5704762"/>
        </a:xfrm>
        <a:prstGeom prst="rect">
          <a:avLst/>
        </a:prstGeom>
      </xdr:spPr>
    </xdr:pic>
    <xdr:clientData/>
  </xdr:twoCellAnchor>
  <xdr:twoCellAnchor>
    <xdr:from>
      <xdr:col>11</xdr:col>
      <xdr:colOff>571499</xdr:colOff>
      <xdr:row>27</xdr:row>
      <xdr:rowOff>100012</xdr:rowOff>
    </xdr:from>
    <xdr:to>
      <xdr:col>25</xdr:col>
      <xdr:colOff>104774</xdr:colOff>
      <xdr:row>48</xdr:row>
      <xdr:rowOff>9525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AEC9C3D3-9348-0C6D-C457-BE7B0B8095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28575</xdr:colOff>
      <xdr:row>11</xdr:row>
      <xdr:rowOff>161925</xdr:rowOff>
    </xdr:from>
    <xdr:to>
      <xdr:col>13</xdr:col>
      <xdr:colOff>485775</xdr:colOff>
      <xdr:row>18</xdr:row>
      <xdr:rowOff>95250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918A2E82-DD63-3843-BB12-7830CC774F32}"/>
            </a:ext>
          </a:extLst>
        </xdr:cNvPr>
        <xdr:cNvSpPr txBox="1"/>
      </xdr:nvSpPr>
      <xdr:spPr>
        <a:xfrm>
          <a:off x="4171950" y="3286125"/>
          <a:ext cx="5257800" cy="1600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X</a:t>
          </a:r>
          <a:r>
            <a:rPr kumimoji="1" lang="ja-JP" altLang="en-US" sz="1100"/>
            <a:t>に対する</a:t>
          </a:r>
          <a:r>
            <a:rPr kumimoji="1" lang="en-US" altLang="ja-JP" sz="1100"/>
            <a:t>Y^2</a:t>
          </a:r>
          <a:r>
            <a:rPr kumimoji="1" lang="ja-JP" altLang="en-US" sz="1100"/>
            <a:t>を、</a:t>
          </a:r>
          <a:r>
            <a:rPr kumimoji="1" lang="en-US" altLang="ja-JP" sz="1100"/>
            <a:t>61</a:t>
          </a:r>
          <a:r>
            <a:rPr kumimoji="1" lang="ja-JP" altLang="en-US" sz="1100"/>
            <a:t>の剰余系内での数値として求める</a:t>
          </a:r>
        </a:p>
        <a:p>
          <a:r>
            <a:rPr kumimoji="1" lang="ja-JP" altLang="en-US" sz="1100"/>
            <a:t>例：</a:t>
          </a:r>
          <a:r>
            <a:rPr kumimoji="1" lang="en-US" altLang="ja-JP" sz="1100"/>
            <a:t>X=6</a:t>
          </a:r>
          <a:r>
            <a:rPr kumimoji="1" lang="ja-JP" altLang="en-US" sz="1100"/>
            <a:t>　に対する　</a:t>
          </a:r>
          <a:r>
            <a:rPr kumimoji="1" lang="en-US" altLang="ja-JP" sz="1100"/>
            <a:t>Y2=mod(6^3-6,61)</a:t>
          </a:r>
          <a:r>
            <a:rPr kumimoji="1" lang="ja-JP" altLang="en-US" sz="1100"/>
            <a:t>　</a:t>
          </a:r>
          <a:r>
            <a:rPr kumimoji="1" lang="en-US" altLang="ja-JP" sz="1100"/>
            <a:t>=</a:t>
          </a:r>
          <a:r>
            <a:rPr kumimoji="1" lang="ja-JP" altLang="en-US" sz="1100"/>
            <a:t>　</a:t>
          </a:r>
          <a:r>
            <a:rPr kumimoji="1" lang="en-US" altLang="ja-JP" sz="1100"/>
            <a:t>27</a:t>
          </a:r>
          <a:endParaRPr kumimoji="1" lang="ja-JP" altLang="en-US" sz="1100"/>
        </a:p>
        <a:p>
          <a:r>
            <a:rPr kumimoji="1" lang="en-US" altLang="ja-JP" sz="1100"/>
            <a:t>61</a:t>
          </a:r>
          <a:r>
            <a:rPr kumimoji="1" lang="ja-JP" altLang="en-US" sz="1100"/>
            <a:t>の剰余系内で、</a:t>
          </a:r>
          <a:r>
            <a:rPr kumimoji="1" lang="en-US" altLang="ja-JP" sz="1100"/>
            <a:t>Y2=27</a:t>
          </a:r>
          <a:r>
            <a:rPr kumimoji="1" lang="ja-JP" altLang="en-US" sz="1100"/>
            <a:t>　となる</a:t>
          </a:r>
          <a:r>
            <a:rPr kumimoji="1" lang="en-US" altLang="ja-JP" sz="1100"/>
            <a:t>Y</a:t>
          </a:r>
          <a:r>
            <a:rPr kumimoji="1" lang="ja-JP" altLang="en-US" sz="1100"/>
            <a:t>は、</a:t>
          </a:r>
        </a:p>
        <a:p>
          <a:r>
            <a:rPr kumimoji="1" lang="en-US" altLang="ja-JP" sz="1100"/>
            <a:t>24</a:t>
          </a:r>
          <a:r>
            <a:rPr kumimoji="1" lang="ja-JP" altLang="en-US" sz="1100"/>
            <a:t>と</a:t>
          </a:r>
          <a:r>
            <a:rPr kumimoji="1" lang="en-US" altLang="ja-JP" sz="1100"/>
            <a:t>37(</a:t>
          </a:r>
          <a:r>
            <a:rPr kumimoji="1" lang="ja-JP" altLang="en-US" sz="1100"/>
            <a:t>加算が</a:t>
          </a:r>
          <a:r>
            <a:rPr kumimoji="1" lang="en-US" altLang="ja-JP" sz="1100"/>
            <a:t>0(=61)</a:t>
          </a:r>
          <a:r>
            <a:rPr kumimoji="1" lang="ja-JP" altLang="en-US" sz="1100"/>
            <a:t>となる</a:t>
          </a:r>
          <a:r>
            <a:rPr kumimoji="1" lang="en-US" altLang="ja-JP" sz="1100"/>
            <a:t>)</a:t>
          </a:r>
          <a:endParaRPr kumimoji="1" lang="ja-JP" altLang="en-US" sz="1100"/>
        </a:p>
        <a:p>
          <a:endParaRPr kumimoji="1" lang="ja-JP" alt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14</xdr:col>
      <xdr:colOff>284600</xdr:colOff>
      <xdr:row>25</xdr:row>
      <xdr:rowOff>227887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460486D-B882-4E4B-88A8-1E68EED7E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476250"/>
          <a:ext cx="9200000" cy="5704762"/>
        </a:xfrm>
        <a:prstGeom prst="rect">
          <a:avLst/>
        </a:prstGeom>
      </xdr:spPr>
    </xdr:pic>
    <xdr:clientData/>
  </xdr:twoCellAnchor>
  <xdr:twoCellAnchor>
    <xdr:from>
      <xdr:col>2</xdr:col>
      <xdr:colOff>57150</xdr:colOff>
      <xdr:row>20</xdr:row>
      <xdr:rowOff>0</xdr:rowOff>
    </xdr:from>
    <xdr:to>
      <xdr:col>2</xdr:col>
      <xdr:colOff>419100</xdr:colOff>
      <xdr:row>21</xdr:row>
      <xdr:rowOff>95250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1BF42E1D-6C30-6A91-2D50-AF41F9FE4DBD}"/>
            </a:ext>
          </a:extLst>
        </xdr:cNvPr>
        <xdr:cNvSpPr/>
      </xdr:nvSpPr>
      <xdr:spPr>
        <a:xfrm>
          <a:off x="1428750" y="4762500"/>
          <a:ext cx="361950" cy="33337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238125</xdr:colOff>
      <xdr:row>6</xdr:row>
      <xdr:rowOff>95250</xdr:rowOff>
    </xdr:from>
    <xdr:to>
      <xdr:col>2</xdr:col>
      <xdr:colOff>238125</xdr:colOff>
      <xdr:row>20</xdr:row>
      <xdr:rowOff>133350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BD6D7465-EEE8-A13C-1ACF-DF0ED8DDFBA5}"/>
            </a:ext>
          </a:extLst>
        </xdr:cNvPr>
        <xdr:cNvCxnSpPr/>
      </xdr:nvCxnSpPr>
      <xdr:spPr>
        <a:xfrm flipV="1">
          <a:off x="1609725" y="1524000"/>
          <a:ext cx="0" cy="33718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609600</xdr:colOff>
      <xdr:row>21</xdr:row>
      <xdr:rowOff>19050</xdr:rowOff>
    </xdr:from>
    <xdr:to>
      <xdr:col>3</xdr:col>
      <xdr:colOff>600075</xdr:colOff>
      <xdr:row>24</xdr:row>
      <xdr:rowOff>66675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E1FDA9D6-7208-8825-676A-D9D1AC8D2B64}"/>
            </a:ext>
          </a:extLst>
        </xdr:cNvPr>
        <xdr:cNvSpPr txBox="1"/>
      </xdr:nvSpPr>
      <xdr:spPr>
        <a:xfrm>
          <a:off x="609600" y="5019675"/>
          <a:ext cx="2047875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G(4,11)</a:t>
          </a:r>
          <a:endParaRPr kumimoji="1" lang="ja-JP" altLang="en-US" sz="1100"/>
        </a:p>
        <a:p>
          <a:r>
            <a:rPr kumimoji="1" lang="ja-JP" altLang="en-US" sz="1100"/>
            <a:t>ベースポイントとする</a:t>
          </a:r>
        </a:p>
      </xdr:txBody>
    </xdr:sp>
    <xdr:clientData/>
  </xdr:twoCellAnchor>
  <xdr:twoCellAnchor>
    <xdr:from>
      <xdr:col>1</xdr:col>
      <xdr:colOff>485776</xdr:colOff>
      <xdr:row>3</xdr:row>
      <xdr:rowOff>200025</xdr:rowOff>
    </xdr:from>
    <xdr:to>
      <xdr:col>3</xdr:col>
      <xdr:colOff>9526</xdr:colOff>
      <xdr:row>5</xdr:row>
      <xdr:rowOff>180975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FB29D503-A2AF-4743-A3D2-D9C5FC73CCDA}"/>
            </a:ext>
          </a:extLst>
        </xdr:cNvPr>
        <xdr:cNvSpPr txBox="1"/>
      </xdr:nvSpPr>
      <xdr:spPr>
        <a:xfrm>
          <a:off x="1171576" y="914400"/>
          <a:ext cx="895350" cy="457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2G(4,50)</a:t>
          </a:r>
          <a:endParaRPr kumimoji="1" lang="ja-JP" altLang="en-US" sz="1100"/>
        </a:p>
      </xdr:txBody>
    </xdr:sp>
    <xdr:clientData/>
  </xdr:twoCellAnchor>
  <xdr:twoCellAnchor editAs="oneCell">
    <xdr:from>
      <xdr:col>14</xdr:col>
      <xdr:colOff>657225</xdr:colOff>
      <xdr:row>6</xdr:row>
      <xdr:rowOff>200025</xdr:rowOff>
    </xdr:from>
    <xdr:to>
      <xdr:col>20</xdr:col>
      <xdr:colOff>485282</xdr:colOff>
      <xdr:row>22</xdr:row>
      <xdr:rowOff>113834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393E8501-9222-F4D3-18CE-A935275BF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58425" y="1628775"/>
          <a:ext cx="3942857" cy="3723809"/>
        </a:xfrm>
        <a:prstGeom prst="rect">
          <a:avLst/>
        </a:prstGeom>
      </xdr:spPr>
    </xdr:pic>
    <xdr:clientData/>
  </xdr:twoCellAnchor>
  <xdr:twoCellAnchor editAs="oneCell">
    <xdr:from>
      <xdr:col>21</xdr:col>
      <xdr:colOff>85725</xdr:colOff>
      <xdr:row>0</xdr:row>
      <xdr:rowOff>85725</xdr:rowOff>
    </xdr:from>
    <xdr:to>
      <xdr:col>24</xdr:col>
      <xdr:colOff>675944</xdr:colOff>
      <xdr:row>27</xdr:row>
      <xdr:rowOff>123017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71A88D8E-988A-3AAB-DA07-787A264A5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87525" y="85725"/>
          <a:ext cx="2647619" cy="64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hyperlink" Target="https://ja.wikipedia.org/wiki/%E6%A5%95%E5%86%86%E6%9B%B2%E7%B7%9A%E6%9A%97%E5%8F%B7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317F8-C7E3-4094-8C4E-D6CE93BDC0D2}">
  <dimension ref="A2:A20"/>
  <sheetViews>
    <sheetView workbookViewId="0">
      <selection activeCell="M13" sqref="M13"/>
    </sheetView>
  </sheetViews>
  <sheetFormatPr defaultRowHeight="18.75" x14ac:dyDescent="0.4"/>
  <cols>
    <col min="11" max="11" width="13.375" bestFit="1" customWidth="1"/>
  </cols>
  <sheetData>
    <row r="2" spans="1:1" x14ac:dyDescent="0.4">
      <c r="A2" t="s">
        <v>45</v>
      </c>
    </row>
    <row r="3" spans="1:1" x14ac:dyDescent="0.4">
      <c r="A3" t="s">
        <v>46</v>
      </c>
    </row>
    <row r="4" spans="1:1" x14ac:dyDescent="0.4">
      <c r="A4" t="s">
        <v>47</v>
      </c>
    </row>
    <row r="6" spans="1:1" x14ac:dyDescent="0.4">
      <c r="A6" t="s">
        <v>48</v>
      </c>
    </row>
    <row r="7" spans="1:1" x14ac:dyDescent="0.4">
      <c r="A7" t="s">
        <v>49</v>
      </c>
    </row>
    <row r="8" spans="1:1" x14ac:dyDescent="0.4">
      <c r="A8" t="s">
        <v>57</v>
      </c>
    </row>
    <row r="10" spans="1:1" x14ac:dyDescent="0.4">
      <c r="A10" t="s">
        <v>55</v>
      </c>
    </row>
    <row r="11" spans="1:1" x14ac:dyDescent="0.4">
      <c r="A11" t="s">
        <v>56</v>
      </c>
    </row>
    <row r="12" spans="1:1" x14ac:dyDescent="0.4">
      <c r="A12" t="s">
        <v>51</v>
      </c>
    </row>
    <row r="14" spans="1:1" x14ac:dyDescent="0.4">
      <c r="A14" t="s">
        <v>50</v>
      </c>
    </row>
    <row r="15" spans="1:1" x14ac:dyDescent="0.4">
      <c r="A15" t="s">
        <v>52</v>
      </c>
    </row>
    <row r="16" spans="1:1" x14ac:dyDescent="0.4">
      <c r="A16" s="6" t="s">
        <v>53</v>
      </c>
    </row>
    <row r="18" spans="1:1" x14ac:dyDescent="0.4">
      <c r="A18" t="s">
        <v>100</v>
      </c>
    </row>
    <row r="19" spans="1:1" x14ac:dyDescent="0.4">
      <c r="A19" t="s">
        <v>101</v>
      </c>
    </row>
    <row r="20" spans="1:1" x14ac:dyDescent="0.4">
      <c r="A20" t="s">
        <v>102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DD6EC-27FD-4C66-9F1B-0B2512C2146A}">
  <dimension ref="A2:A18"/>
  <sheetViews>
    <sheetView workbookViewId="0">
      <selection activeCell="N8" sqref="N8"/>
    </sheetView>
  </sheetViews>
  <sheetFormatPr defaultRowHeight="18.75" x14ac:dyDescent="0.4"/>
  <sheetData>
    <row r="2" spans="1:1" x14ac:dyDescent="0.4">
      <c r="A2" t="s">
        <v>31</v>
      </c>
    </row>
    <row r="3" spans="1:1" x14ac:dyDescent="0.4">
      <c r="A3" t="s">
        <v>32</v>
      </c>
    </row>
    <row r="4" spans="1:1" x14ac:dyDescent="0.4">
      <c r="A4" t="s">
        <v>33</v>
      </c>
    </row>
    <row r="5" spans="1:1" x14ac:dyDescent="0.4">
      <c r="A5" t="s">
        <v>34</v>
      </c>
    </row>
    <row r="6" spans="1:1" x14ac:dyDescent="0.4">
      <c r="A6" t="s">
        <v>35</v>
      </c>
    </row>
    <row r="7" spans="1:1" x14ac:dyDescent="0.4">
      <c r="A7" t="s">
        <v>36</v>
      </c>
    </row>
    <row r="8" spans="1:1" x14ac:dyDescent="0.4">
      <c r="A8" t="s">
        <v>37</v>
      </c>
    </row>
    <row r="9" spans="1:1" x14ac:dyDescent="0.4">
      <c r="A9" t="s">
        <v>38</v>
      </c>
    </row>
    <row r="10" spans="1:1" x14ac:dyDescent="0.4">
      <c r="A10" t="s">
        <v>39</v>
      </c>
    </row>
    <row r="11" spans="1:1" x14ac:dyDescent="0.4">
      <c r="A11" t="s">
        <v>40</v>
      </c>
    </row>
    <row r="12" spans="1:1" x14ac:dyDescent="0.4">
      <c r="A12" t="s">
        <v>41</v>
      </c>
    </row>
    <row r="14" spans="1:1" x14ac:dyDescent="0.4">
      <c r="A14" t="s">
        <v>42</v>
      </c>
    </row>
    <row r="15" spans="1:1" x14ac:dyDescent="0.4">
      <c r="A15" t="s">
        <v>43</v>
      </c>
    </row>
    <row r="16" spans="1:1" x14ac:dyDescent="0.4">
      <c r="A16" t="s">
        <v>44</v>
      </c>
    </row>
    <row r="17" spans="1:1" x14ac:dyDescent="0.4">
      <c r="A17" t="s">
        <v>58</v>
      </c>
    </row>
    <row r="18" spans="1:1" x14ac:dyDescent="0.4">
      <c r="A18" t="s">
        <v>54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EA5FB-9475-4921-9161-D5063389C24D}">
  <dimension ref="A1:N27"/>
  <sheetViews>
    <sheetView tabSelected="1" topLeftCell="A7" workbookViewId="0">
      <selection activeCell="O14" sqref="O14"/>
    </sheetView>
  </sheetViews>
  <sheetFormatPr defaultRowHeight="18.75" x14ac:dyDescent="0.4"/>
  <cols>
    <col min="13" max="13" width="54.375" bestFit="1" customWidth="1"/>
  </cols>
  <sheetData>
    <row r="1" spans="1:14" x14ac:dyDescent="0.4">
      <c r="A1" t="s">
        <v>130</v>
      </c>
    </row>
    <row r="2" spans="1:14" x14ac:dyDescent="0.4">
      <c r="B2" t="s">
        <v>59</v>
      </c>
      <c r="K2" t="s">
        <v>73</v>
      </c>
    </row>
    <row r="3" spans="1:14" x14ac:dyDescent="0.4">
      <c r="B3" t="s">
        <v>60</v>
      </c>
      <c r="K3" s="6" t="s">
        <v>74</v>
      </c>
    </row>
    <row r="4" spans="1:14" x14ac:dyDescent="0.4">
      <c r="B4" t="s">
        <v>61</v>
      </c>
    </row>
    <row r="5" spans="1:14" x14ac:dyDescent="0.4">
      <c r="B5" t="s">
        <v>62</v>
      </c>
      <c r="K5" t="s">
        <v>75</v>
      </c>
    </row>
    <row r="6" spans="1:14" x14ac:dyDescent="0.4">
      <c r="B6" t="s">
        <v>63</v>
      </c>
      <c r="K6" t="s">
        <v>76</v>
      </c>
    </row>
    <row r="8" spans="1:14" x14ac:dyDescent="0.4">
      <c r="B8" t="s">
        <v>64</v>
      </c>
      <c r="K8" t="s">
        <v>77</v>
      </c>
    </row>
    <row r="9" spans="1:14" x14ac:dyDescent="0.4">
      <c r="B9" t="s">
        <v>65</v>
      </c>
    </row>
    <row r="10" spans="1:14" x14ac:dyDescent="0.4">
      <c r="B10" t="s">
        <v>66</v>
      </c>
      <c r="K10" t="s">
        <v>78</v>
      </c>
    </row>
    <row r="11" spans="1:14" x14ac:dyDescent="0.4">
      <c r="B11" t="s">
        <v>67</v>
      </c>
    </row>
    <row r="12" spans="1:14" x14ac:dyDescent="0.4">
      <c r="B12" t="s">
        <v>68</v>
      </c>
      <c r="K12" t="s">
        <v>79</v>
      </c>
    </row>
    <row r="13" spans="1:14" x14ac:dyDescent="0.4">
      <c r="B13" t="s">
        <v>69</v>
      </c>
    </row>
    <row r="14" spans="1:14" x14ac:dyDescent="0.4">
      <c r="K14" t="s">
        <v>80</v>
      </c>
    </row>
    <row r="15" spans="1:14" x14ac:dyDescent="0.4">
      <c r="B15" t="s">
        <v>70</v>
      </c>
      <c r="K15" t="s">
        <v>81</v>
      </c>
    </row>
    <row r="16" spans="1:14" x14ac:dyDescent="0.4">
      <c r="B16" t="s">
        <v>71</v>
      </c>
      <c r="N16" t="s">
        <v>86</v>
      </c>
    </row>
    <row r="17" spans="2:14" x14ac:dyDescent="0.4">
      <c r="B17" t="s">
        <v>72</v>
      </c>
      <c r="K17" s="6" t="s">
        <v>82</v>
      </c>
      <c r="L17" t="s">
        <v>83</v>
      </c>
      <c r="M17" s="7">
        <f>3^27</f>
        <v>7625597484987</v>
      </c>
      <c r="N17" s="7">
        <f xml:space="preserve"> MOD(M17,33)</f>
        <v>9</v>
      </c>
    </row>
    <row r="19" spans="2:14" x14ac:dyDescent="0.4">
      <c r="K19" t="s">
        <v>84</v>
      </c>
      <c r="L19" t="s">
        <v>85</v>
      </c>
      <c r="M19" s="15">
        <f>3^100</f>
        <v>5.1537752073201141E+47</v>
      </c>
      <c r="N19" t="s">
        <v>87</v>
      </c>
    </row>
    <row r="20" spans="2:14" x14ac:dyDescent="0.4">
      <c r="M20" s="10" t="s">
        <v>131</v>
      </c>
    </row>
    <row r="21" spans="2:14" x14ac:dyDescent="0.4">
      <c r="K21" t="s">
        <v>88</v>
      </c>
      <c r="L21" t="s">
        <v>89</v>
      </c>
      <c r="M21">
        <f>3^10</f>
        <v>59049</v>
      </c>
      <c r="N21">
        <f>MOD(M21,33)</f>
        <v>12</v>
      </c>
    </row>
    <row r="22" spans="2:14" x14ac:dyDescent="0.4">
      <c r="M22" t="s">
        <v>132</v>
      </c>
    </row>
    <row r="23" spans="2:14" x14ac:dyDescent="0.4">
      <c r="K23" t="s">
        <v>90</v>
      </c>
      <c r="L23" t="s">
        <v>91</v>
      </c>
      <c r="M23">
        <f>12^10</f>
        <v>61917364224</v>
      </c>
      <c r="N23">
        <f>MOD(M23,33)</f>
        <v>12</v>
      </c>
    </row>
    <row r="24" spans="2:14" x14ac:dyDescent="0.4">
      <c r="M24" t="s">
        <v>133</v>
      </c>
    </row>
    <row r="25" spans="2:14" x14ac:dyDescent="0.4">
      <c r="K25" t="s">
        <v>88</v>
      </c>
      <c r="L25" t="s">
        <v>89</v>
      </c>
      <c r="M25">
        <f>3^10</f>
        <v>59049</v>
      </c>
      <c r="N25">
        <f>MOD(M25,33)</f>
        <v>12</v>
      </c>
    </row>
    <row r="27" spans="2:14" x14ac:dyDescent="0.4">
      <c r="K27" t="s">
        <v>92</v>
      </c>
      <c r="L27" t="s">
        <v>93</v>
      </c>
      <c r="M27">
        <f>4^10</f>
        <v>1048576</v>
      </c>
      <c r="N27">
        <f>MOD(M27,33)</f>
        <v>1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C8034-9A3C-4435-9CCA-46C79AD3B1A1}">
  <dimension ref="A2:S21"/>
  <sheetViews>
    <sheetView workbookViewId="0">
      <selection activeCell="A15" sqref="A15"/>
    </sheetView>
  </sheetViews>
  <sheetFormatPr defaultRowHeight="18.75" x14ac:dyDescent="0.4"/>
  <sheetData>
    <row r="2" spans="1:19" x14ac:dyDescent="0.4">
      <c r="A2" t="s">
        <v>50</v>
      </c>
      <c r="M2">
        <v>0</v>
      </c>
      <c r="Q2">
        <v>13</v>
      </c>
      <c r="R2">
        <f>$Q$2*M2</f>
        <v>0</v>
      </c>
      <c r="S2">
        <f>MOD(R2,20)</f>
        <v>0</v>
      </c>
    </row>
    <row r="3" spans="1:19" x14ac:dyDescent="0.4">
      <c r="A3" t="s">
        <v>52</v>
      </c>
      <c r="M3">
        <v>1</v>
      </c>
      <c r="R3">
        <f t="shared" ref="R3:R21" si="0">$Q$2*M3</f>
        <v>13</v>
      </c>
      <c r="S3">
        <f t="shared" ref="S3:S21" si="1">MOD(R3,20)</f>
        <v>13</v>
      </c>
    </row>
    <row r="4" spans="1:19" x14ac:dyDescent="0.4">
      <c r="A4" t="s">
        <v>53</v>
      </c>
      <c r="M4">
        <v>2</v>
      </c>
      <c r="R4">
        <f>$Q$2*M4</f>
        <v>26</v>
      </c>
      <c r="S4">
        <f t="shared" si="1"/>
        <v>6</v>
      </c>
    </row>
    <row r="5" spans="1:19" x14ac:dyDescent="0.4">
      <c r="M5">
        <v>3</v>
      </c>
      <c r="N5">
        <v>7</v>
      </c>
      <c r="R5">
        <f t="shared" si="0"/>
        <v>39</v>
      </c>
      <c r="S5">
        <f t="shared" si="1"/>
        <v>19</v>
      </c>
    </row>
    <row r="6" spans="1:19" x14ac:dyDescent="0.4">
      <c r="A6" t="s">
        <v>100</v>
      </c>
      <c r="M6">
        <v>4</v>
      </c>
      <c r="R6">
        <f t="shared" si="0"/>
        <v>52</v>
      </c>
      <c r="S6">
        <f t="shared" si="1"/>
        <v>12</v>
      </c>
    </row>
    <row r="7" spans="1:19" x14ac:dyDescent="0.4">
      <c r="A7" t="s">
        <v>101</v>
      </c>
      <c r="M7">
        <v>5</v>
      </c>
      <c r="R7">
        <f t="shared" si="0"/>
        <v>65</v>
      </c>
      <c r="S7">
        <f t="shared" si="1"/>
        <v>5</v>
      </c>
    </row>
    <row r="8" spans="1:19" x14ac:dyDescent="0.4">
      <c r="A8" t="s">
        <v>102</v>
      </c>
      <c r="M8">
        <v>6</v>
      </c>
      <c r="R8">
        <f t="shared" si="0"/>
        <v>78</v>
      </c>
      <c r="S8">
        <f t="shared" si="1"/>
        <v>18</v>
      </c>
    </row>
    <row r="9" spans="1:19" x14ac:dyDescent="0.4">
      <c r="M9">
        <v>7</v>
      </c>
      <c r="N9">
        <v>3</v>
      </c>
      <c r="R9">
        <f t="shared" si="0"/>
        <v>91</v>
      </c>
      <c r="S9">
        <f t="shared" si="1"/>
        <v>11</v>
      </c>
    </row>
    <row r="10" spans="1:19" x14ac:dyDescent="0.4">
      <c r="A10" t="s">
        <v>96</v>
      </c>
      <c r="M10">
        <v>8</v>
      </c>
      <c r="R10">
        <f t="shared" si="0"/>
        <v>104</v>
      </c>
      <c r="S10">
        <f t="shared" si="1"/>
        <v>4</v>
      </c>
    </row>
    <row r="11" spans="1:19" x14ac:dyDescent="0.4">
      <c r="A11" t="s">
        <v>94</v>
      </c>
      <c r="H11" t="s">
        <v>95</v>
      </c>
      <c r="M11">
        <v>9</v>
      </c>
      <c r="N11">
        <v>9</v>
      </c>
      <c r="R11">
        <f t="shared" si="0"/>
        <v>117</v>
      </c>
      <c r="S11">
        <f t="shared" si="1"/>
        <v>17</v>
      </c>
    </row>
    <row r="12" spans="1:19" x14ac:dyDescent="0.4">
      <c r="A12" t="s">
        <v>97</v>
      </c>
      <c r="M12">
        <v>10</v>
      </c>
      <c r="R12">
        <f t="shared" si="0"/>
        <v>130</v>
      </c>
      <c r="S12">
        <f t="shared" si="1"/>
        <v>10</v>
      </c>
    </row>
    <row r="13" spans="1:19" x14ac:dyDescent="0.4">
      <c r="M13">
        <v>11</v>
      </c>
      <c r="N13">
        <v>11</v>
      </c>
      <c r="R13">
        <f t="shared" si="0"/>
        <v>143</v>
      </c>
      <c r="S13">
        <f t="shared" si="1"/>
        <v>3</v>
      </c>
    </row>
    <row r="14" spans="1:19" x14ac:dyDescent="0.4">
      <c r="A14" t="s">
        <v>98</v>
      </c>
      <c r="E14" t="s">
        <v>103</v>
      </c>
      <c r="F14" t="s">
        <v>104</v>
      </c>
      <c r="M14">
        <v>12</v>
      </c>
      <c r="R14">
        <f t="shared" si="0"/>
        <v>156</v>
      </c>
      <c r="S14">
        <f t="shared" si="1"/>
        <v>16</v>
      </c>
    </row>
    <row r="15" spans="1:19" x14ac:dyDescent="0.4">
      <c r="A15" t="s">
        <v>99</v>
      </c>
      <c r="E15">
        <v>3</v>
      </c>
      <c r="F15">
        <v>7</v>
      </c>
      <c r="M15">
        <v>13</v>
      </c>
      <c r="N15">
        <v>17</v>
      </c>
      <c r="R15">
        <f t="shared" si="0"/>
        <v>169</v>
      </c>
      <c r="S15">
        <f t="shared" si="1"/>
        <v>9</v>
      </c>
    </row>
    <row r="16" spans="1:19" x14ac:dyDescent="0.4">
      <c r="E16">
        <v>7</v>
      </c>
      <c r="F16">
        <v>3</v>
      </c>
      <c r="M16">
        <v>14</v>
      </c>
      <c r="R16">
        <f t="shared" si="0"/>
        <v>182</v>
      </c>
      <c r="S16">
        <f t="shared" si="1"/>
        <v>2</v>
      </c>
    </row>
    <row r="17" spans="5:19" x14ac:dyDescent="0.4">
      <c r="E17">
        <v>9</v>
      </c>
      <c r="F17">
        <v>9</v>
      </c>
      <c r="M17">
        <v>15</v>
      </c>
      <c r="R17">
        <f t="shared" si="0"/>
        <v>195</v>
      </c>
      <c r="S17">
        <f t="shared" si="1"/>
        <v>15</v>
      </c>
    </row>
    <row r="18" spans="5:19" x14ac:dyDescent="0.4">
      <c r="E18">
        <v>11</v>
      </c>
      <c r="F18">
        <v>11</v>
      </c>
      <c r="M18">
        <v>16</v>
      </c>
      <c r="R18">
        <f t="shared" si="0"/>
        <v>208</v>
      </c>
      <c r="S18">
        <f t="shared" si="1"/>
        <v>8</v>
      </c>
    </row>
    <row r="19" spans="5:19" x14ac:dyDescent="0.4">
      <c r="E19">
        <v>13</v>
      </c>
      <c r="F19">
        <v>17</v>
      </c>
      <c r="M19">
        <v>17</v>
      </c>
      <c r="N19">
        <v>13</v>
      </c>
      <c r="R19">
        <f t="shared" si="0"/>
        <v>221</v>
      </c>
      <c r="S19">
        <f t="shared" si="1"/>
        <v>1</v>
      </c>
    </row>
    <row r="20" spans="5:19" x14ac:dyDescent="0.4">
      <c r="E20">
        <v>17</v>
      </c>
      <c r="F20">
        <v>13</v>
      </c>
      <c r="M20">
        <v>18</v>
      </c>
      <c r="R20">
        <f t="shared" si="0"/>
        <v>234</v>
      </c>
      <c r="S20">
        <f t="shared" si="1"/>
        <v>14</v>
      </c>
    </row>
    <row r="21" spans="5:19" x14ac:dyDescent="0.4">
      <c r="E21">
        <v>19</v>
      </c>
      <c r="F21">
        <v>19</v>
      </c>
      <c r="M21">
        <v>19</v>
      </c>
      <c r="N21">
        <v>19</v>
      </c>
      <c r="R21">
        <f t="shared" si="0"/>
        <v>247</v>
      </c>
      <c r="S21">
        <f t="shared" si="1"/>
        <v>7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070AF-A7D7-47A1-A2AA-27D62FB252AC}">
  <dimension ref="A2:H15"/>
  <sheetViews>
    <sheetView workbookViewId="0">
      <selection activeCell="N10" sqref="N10"/>
    </sheetView>
  </sheetViews>
  <sheetFormatPr defaultRowHeight="18.75" x14ac:dyDescent="0.4"/>
  <sheetData>
    <row r="2" spans="1:8" x14ac:dyDescent="0.4">
      <c r="A2" t="s">
        <v>110</v>
      </c>
    </row>
    <row r="4" spans="1:8" x14ac:dyDescent="0.4">
      <c r="A4" t="s">
        <v>111</v>
      </c>
    </row>
    <row r="5" spans="1:8" x14ac:dyDescent="0.4">
      <c r="A5" t="s">
        <v>112</v>
      </c>
    </row>
    <row r="7" spans="1:8" x14ac:dyDescent="0.4">
      <c r="A7" t="s">
        <v>113</v>
      </c>
    </row>
    <row r="8" spans="1:8" x14ac:dyDescent="0.4">
      <c r="A8" t="s">
        <v>115</v>
      </c>
    </row>
    <row r="10" spans="1:8" x14ac:dyDescent="0.4">
      <c r="A10" t="s">
        <v>114</v>
      </c>
    </row>
    <row r="11" spans="1:8" x14ac:dyDescent="0.4">
      <c r="A11" t="s">
        <v>120</v>
      </c>
    </row>
    <row r="12" spans="1:8" x14ac:dyDescent="0.4">
      <c r="A12" t="s">
        <v>117</v>
      </c>
    </row>
    <row r="13" spans="1:8" x14ac:dyDescent="0.4">
      <c r="A13" t="s">
        <v>116</v>
      </c>
    </row>
    <row r="14" spans="1:8" x14ac:dyDescent="0.4">
      <c r="A14" t="s">
        <v>119</v>
      </c>
    </row>
    <row r="15" spans="1:8" x14ac:dyDescent="0.4">
      <c r="H15" s="10" t="s">
        <v>118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A30D9-49DB-496A-983B-08A6575FA875}">
  <sheetPr codeName="Sheet1"/>
  <dimension ref="A1:P22"/>
  <sheetViews>
    <sheetView workbookViewId="0">
      <selection activeCell="G18" sqref="G18"/>
    </sheetView>
  </sheetViews>
  <sheetFormatPr defaultRowHeight="18.75" x14ac:dyDescent="0.4"/>
  <cols>
    <col min="3" max="3" width="17.625" customWidth="1"/>
    <col min="5" max="5" width="11.25" bestFit="1" customWidth="1"/>
    <col min="9" max="9" width="16.5" customWidth="1"/>
    <col min="10" max="10" width="16.25" customWidth="1"/>
    <col min="11" max="11" width="14.25" customWidth="1"/>
  </cols>
  <sheetData>
    <row r="1" spans="1:16" x14ac:dyDescent="0.4">
      <c r="A1">
        <v>7</v>
      </c>
      <c r="B1">
        <v>3</v>
      </c>
      <c r="C1">
        <v>11</v>
      </c>
      <c r="D1">
        <v>33</v>
      </c>
      <c r="E1">
        <v>7</v>
      </c>
    </row>
    <row r="2" spans="1:16" x14ac:dyDescent="0.4">
      <c r="N2" t="s">
        <v>4</v>
      </c>
      <c r="O2" t="s">
        <v>5</v>
      </c>
      <c r="P2" t="s">
        <v>3</v>
      </c>
    </row>
    <row r="3" spans="1:16" x14ac:dyDescent="0.4">
      <c r="A3">
        <v>3</v>
      </c>
      <c r="B3">
        <v>14</v>
      </c>
      <c r="C3">
        <f>B3^7</f>
        <v>105413504</v>
      </c>
      <c r="D3">
        <f>MOD(C3,D1)</f>
        <v>20</v>
      </c>
      <c r="N3">
        <v>20</v>
      </c>
      <c r="O3">
        <v>1</v>
      </c>
      <c r="P3">
        <f>MOD(O3*13,$N$3)</f>
        <v>13</v>
      </c>
    </row>
    <row r="4" spans="1:16" x14ac:dyDescent="0.4">
      <c r="O4">
        <v>2</v>
      </c>
      <c r="P4">
        <f t="shared" ref="P4:P22" si="0">MOD(O4*13,$N$3)</f>
        <v>6</v>
      </c>
    </row>
    <row r="5" spans="1:16" x14ac:dyDescent="0.4">
      <c r="B5">
        <f>D3</f>
        <v>20</v>
      </c>
      <c r="C5">
        <f>B5^3</f>
        <v>8000</v>
      </c>
      <c r="D5">
        <f>MOD(C5,D1)</f>
        <v>14</v>
      </c>
      <c r="O5">
        <v>3</v>
      </c>
      <c r="P5">
        <f t="shared" si="0"/>
        <v>19</v>
      </c>
    </row>
    <row r="6" spans="1:16" x14ac:dyDescent="0.4">
      <c r="O6">
        <v>4</v>
      </c>
      <c r="P6">
        <f t="shared" si="0"/>
        <v>12</v>
      </c>
    </row>
    <row r="7" spans="1:16" x14ac:dyDescent="0.4">
      <c r="O7">
        <v>5</v>
      </c>
      <c r="P7">
        <f t="shared" si="0"/>
        <v>5</v>
      </c>
    </row>
    <row r="8" spans="1:16" x14ac:dyDescent="0.4">
      <c r="O8">
        <v>6</v>
      </c>
      <c r="P8">
        <f t="shared" si="0"/>
        <v>18</v>
      </c>
    </row>
    <row r="9" spans="1:16" x14ac:dyDescent="0.4">
      <c r="O9" s="4">
        <v>7</v>
      </c>
      <c r="P9">
        <f t="shared" si="0"/>
        <v>11</v>
      </c>
    </row>
    <row r="10" spans="1:16" x14ac:dyDescent="0.4">
      <c r="E10" t="s">
        <v>105</v>
      </c>
      <c r="F10" s="7">
        <f>3*7</f>
        <v>21</v>
      </c>
      <c r="G10" s="7">
        <f>MOD(F10,20)</f>
        <v>1</v>
      </c>
      <c r="O10">
        <v>8</v>
      </c>
      <c r="P10">
        <f t="shared" si="0"/>
        <v>4</v>
      </c>
    </row>
    <row r="11" spans="1:16" x14ac:dyDescent="0.4">
      <c r="E11" t="s">
        <v>106</v>
      </c>
      <c r="F11">
        <f>13*17</f>
        <v>221</v>
      </c>
      <c r="G11" s="7">
        <f>MOD(F11,20)</f>
        <v>1</v>
      </c>
      <c r="I11" t="s">
        <v>0</v>
      </c>
      <c r="J11" t="s">
        <v>2</v>
      </c>
      <c r="K11" t="s">
        <v>1</v>
      </c>
      <c r="O11">
        <v>9</v>
      </c>
      <c r="P11">
        <f t="shared" si="0"/>
        <v>17</v>
      </c>
    </row>
    <row r="12" spans="1:16" x14ac:dyDescent="0.4">
      <c r="I12" s="8">
        <v>27</v>
      </c>
      <c r="J12" s="9">
        <f>K18</f>
        <v>15</v>
      </c>
      <c r="K12" s="8">
        <f>K21</f>
        <v>27</v>
      </c>
      <c r="O12">
        <v>10</v>
      </c>
      <c r="P12">
        <f t="shared" si="0"/>
        <v>10</v>
      </c>
    </row>
    <row r="13" spans="1:16" x14ac:dyDescent="0.4">
      <c r="I13" t="s">
        <v>108</v>
      </c>
      <c r="J13" t="s">
        <v>107</v>
      </c>
      <c r="K13" t="s">
        <v>109</v>
      </c>
      <c r="O13">
        <v>11</v>
      </c>
      <c r="P13">
        <f t="shared" si="0"/>
        <v>3</v>
      </c>
    </row>
    <row r="14" spans="1:16" x14ac:dyDescent="0.4">
      <c r="O14">
        <v>12</v>
      </c>
      <c r="P14">
        <f t="shared" si="0"/>
        <v>16</v>
      </c>
    </row>
    <row r="15" spans="1:16" x14ac:dyDescent="0.4">
      <c r="I15" t="s">
        <v>0</v>
      </c>
      <c r="J15" t="s">
        <v>2</v>
      </c>
      <c r="K15" t="s">
        <v>1</v>
      </c>
      <c r="O15">
        <v>13</v>
      </c>
      <c r="P15">
        <f t="shared" si="0"/>
        <v>9</v>
      </c>
    </row>
    <row r="16" spans="1:16" x14ac:dyDescent="0.4">
      <c r="I16">
        <f>I12</f>
        <v>27</v>
      </c>
      <c r="J16" s="7">
        <f>I16^7</f>
        <v>10460353203</v>
      </c>
      <c r="K16" s="7">
        <f>MOD(J16,33)</f>
        <v>3</v>
      </c>
      <c r="O16">
        <v>14</v>
      </c>
      <c r="P16">
        <f t="shared" si="0"/>
        <v>2</v>
      </c>
    </row>
    <row r="17" spans="9:16" x14ac:dyDescent="0.4">
      <c r="J17" s="7">
        <f>I16^6</f>
        <v>387420489</v>
      </c>
      <c r="K17" s="7">
        <f>MOD(J17,33)</f>
        <v>27</v>
      </c>
      <c r="O17">
        <v>15</v>
      </c>
      <c r="P17">
        <f t="shared" si="0"/>
        <v>15</v>
      </c>
    </row>
    <row r="18" spans="9:16" x14ac:dyDescent="0.4">
      <c r="J18" s="7"/>
      <c r="K18" s="7">
        <f>MOD(K16*K17,33)</f>
        <v>15</v>
      </c>
      <c r="O18">
        <v>16</v>
      </c>
      <c r="P18">
        <f t="shared" si="0"/>
        <v>8</v>
      </c>
    </row>
    <row r="19" spans="9:16" x14ac:dyDescent="0.4">
      <c r="I19" s="7">
        <f>K18</f>
        <v>15</v>
      </c>
      <c r="J19" s="7">
        <f>I19^9</f>
        <v>38443359375</v>
      </c>
      <c r="K19" s="7">
        <f>MOD(J19,33)</f>
        <v>3</v>
      </c>
      <c r="O19" s="1">
        <v>17</v>
      </c>
      <c r="P19">
        <f t="shared" si="0"/>
        <v>1</v>
      </c>
    </row>
    <row r="20" spans="9:16" x14ac:dyDescent="0.4">
      <c r="J20" s="7">
        <f>I19^8</f>
        <v>2562890625</v>
      </c>
      <c r="K20" s="7">
        <f>MOD(J20,33)</f>
        <v>9</v>
      </c>
      <c r="O20">
        <v>18</v>
      </c>
      <c r="P20">
        <f t="shared" si="0"/>
        <v>14</v>
      </c>
    </row>
    <row r="21" spans="9:16" x14ac:dyDescent="0.4">
      <c r="J21">
        <f>K19*K20</f>
        <v>27</v>
      </c>
      <c r="K21">
        <f>MOD(J21,33)</f>
        <v>27</v>
      </c>
      <c r="O21">
        <v>19</v>
      </c>
      <c r="P21">
        <f t="shared" si="0"/>
        <v>7</v>
      </c>
    </row>
    <row r="22" spans="9:16" x14ac:dyDescent="0.4">
      <c r="O22">
        <v>20</v>
      </c>
      <c r="P22">
        <f t="shared" si="0"/>
        <v>0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CF7CF-3F93-463D-8170-BCE68C13C885}">
  <sheetPr codeName="Sheet2"/>
  <dimension ref="A1:G113"/>
  <sheetViews>
    <sheetView workbookViewId="0">
      <selection activeCell="F19" sqref="F19"/>
    </sheetView>
  </sheetViews>
  <sheetFormatPr defaultRowHeight="18.75" x14ac:dyDescent="0.4"/>
  <cols>
    <col min="3" max="3" width="9.375" bestFit="1" customWidth="1"/>
  </cols>
  <sheetData>
    <row r="1" spans="1:7" ht="20.25" x14ac:dyDescent="0.4">
      <c r="A1" t="s">
        <v>124</v>
      </c>
    </row>
    <row r="2" spans="1:7" ht="20.25" x14ac:dyDescent="0.4">
      <c r="B2" t="s">
        <v>6</v>
      </c>
      <c r="C2" t="s">
        <v>7</v>
      </c>
      <c r="D2" t="s">
        <v>11</v>
      </c>
      <c r="F2" t="s">
        <v>6</v>
      </c>
      <c r="G2" s="6" t="s">
        <v>123</v>
      </c>
    </row>
    <row r="3" spans="1:7" x14ac:dyDescent="0.4">
      <c r="B3">
        <v>-1</v>
      </c>
      <c r="C3">
        <f>SQRT(D3)</f>
        <v>0</v>
      </c>
      <c r="D3">
        <f t="shared" ref="D3:D61" si="0">B3^3-B3</f>
        <v>0</v>
      </c>
      <c r="F3">
        <f t="shared" ref="F3:F43" si="1">B3</f>
        <v>-1</v>
      </c>
      <c r="G3">
        <f t="shared" ref="G3:G43" si="2">C3*-1</f>
        <v>0</v>
      </c>
    </row>
    <row r="4" spans="1:7" x14ac:dyDescent="0.4">
      <c r="B4">
        <v>-0.9</v>
      </c>
      <c r="C4">
        <f>SQRT(D4)</f>
        <v>0.41352146256270655</v>
      </c>
      <c r="D4">
        <f t="shared" si="0"/>
        <v>0.17099999999999993</v>
      </c>
      <c r="F4">
        <f t="shared" si="1"/>
        <v>-0.9</v>
      </c>
      <c r="G4">
        <f t="shared" si="2"/>
        <v>-0.41352146256270655</v>
      </c>
    </row>
    <row r="5" spans="1:7" x14ac:dyDescent="0.4">
      <c r="B5">
        <v>-0.8</v>
      </c>
      <c r="C5">
        <f>SQRT(D5)</f>
        <v>0.53665631459994945</v>
      </c>
      <c r="D5">
        <f t="shared" si="0"/>
        <v>0.28799999999999992</v>
      </c>
      <c r="F5">
        <f t="shared" si="1"/>
        <v>-0.8</v>
      </c>
      <c r="G5">
        <f t="shared" si="2"/>
        <v>-0.53665631459994945</v>
      </c>
    </row>
    <row r="6" spans="1:7" x14ac:dyDescent="0.4">
      <c r="B6">
        <v>-0.7</v>
      </c>
      <c r="C6">
        <f>SQRT(D6)</f>
        <v>0.59749476985158623</v>
      </c>
      <c r="D6">
        <f t="shared" si="0"/>
        <v>0.35700000000000004</v>
      </c>
      <c r="F6">
        <f t="shared" si="1"/>
        <v>-0.7</v>
      </c>
      <c r="G6">
        <f t="shared" si="2"/>
        <v>-0.59749476985158623</v>
      </c>
    </row>
    <row r="7" spans="1:7" x14ac:dyDescent="0.4">
      <c r="B7">
        <v>-0.6</v>
      </c>
      <c r="C7">
        <f t="shared" ref="C7:C43" si="3">SQRT(D7)</f>
        <v>0.6196773353931867</v>
      </c>
      <c r="D7">
        <f t="shared" si="0"/>
        <v>0.38400000000000001</v>
      </c>
      <c r="F7">
        <f t="shared" si="1"/>
        <v>-0.6</v>
      </c>
      <c r="G7">
        <f t="shared" si="2"/>
        <v>-0.6196773353931867</v>
      </c>
    </row>
    <row r="8" spans="1:7" x14ac:dyDescent="0.4">
      <c r="B8">
        <v>-0.5</v>
      </c>
      <c r="C8">
        <f t="shared" si="3"/>
        <v>0.61237243569579447</v>
      </c>
      <c r="D8">
        <f t="shared" si="0"/>
        <v>0.375</v>
      </c>
      <c r="F8">
        <f t="shared" si="1"/>
        <v>-0.5</v>
      </c>
      <c r="G8">
        <f t="shared" si="2"/>
        <v>-0.61237243569579447</v>
      </c>
    </row>
    <row r="9" spans="1:7" x14ac:dyDescent="0.4">
      <c r="B9">
        <v>-0.4</v>
      </c>
      <c r="C9">
        <f t="shared" si="3"/>
        <v>0.57965506984757753</v>
      </c>
      <c r="D9">
        <f t="shared" si="0"/>
        <v>0.33600000000000002</v>
      </c>
      <c r="F9">
        <f t="shared" si="1"/>
        <v>-0.4</v>
      </c>
      <c r="G9">
        <f t="shared" si="2"/>
        <v>-0.57965506984757753</v>
      </c>
    </row>
    <row r="10" spans="1:7" x14ac:dyDescent="0.4">
      <c r="B10">
        <v>-0.3</v>
      </c>
      <c r="C10">
        <f t="shared" si="3"/>
        <v>0.5224940191045252</v>
      </c>
      <c r="D10">
        <f t="shared" si="0"/>
        <v>0.27299999999999996</v>
      </c>
      <c r="F10">
        <f t="shared" si="1"/>
        <v>-0.3</v>
      </c>
      <c r="G10">
        <f t="shared" si="2"/>
        <v>-0.5224940191045252</v>
      </c>
    </row>
    <row r="11" spans="1:7" x14ac:dyDescent="0.4">
      <c r="B11">
        <v>-0.2</v>
      </c>
      <c r="C11">
        <f t="shared" si="3"/>
        <v>0.4381780460041329</v>
      </c>
      <c r="D11">
        <f t="shared" si="0"/>
        <v>0.192</v>
      </c>
      <c r="F11">
        <f t="shared" si="1"/>
        <v>-0.2</v>
      </c>
      <c r="G11">
        <f t="shared" si="2"/>
        <v>-0.4381780460041329</v>
      </c>
    </row>
    <row r="12" spans="1:7" x14ac:dyDescent="0.4">
      <c r="B12">
        <v>-0.1</v>
      </c>
      <c r="C12">
        <f t="shared" si="3"/>
        <v>0.31464265445104544</v>
      </c>
      <c r="D12">
        <f t="shared" si="0"/>
        <v>9.9000000000000005E-2</v>
      </c>
      <c r="F12">
        <f t="shared" si="1"/>
        <v>-0.1</v>
      </c>
      <c r="G12">
        <f t="shared" si="2"/>
        <v>-0.31464265445104544</v>
      </c>
    </row>
    <row r="13" spans="1:7" x14ac:dyDescent="0.4">
      <c r="B13">
        <v>0</v>
      </c>
      <c r="C13">
        <f t="shared" si="3"/>
        <v>0</v>
      </c>
      <c r="D13">
        <f t="shared" si="0"/>
        <v>0</v>
      </c>
      <c r="F13">
        <f t="shared" si="1"/>
        <v>0</v>
      </c>
      <c r="G13">
        <f t="shared" si="2"/>
        <v>0</v>
      </c>
    </row>
    <row r="14" spans="1:7" x14ac:dyDescent="0.4">
      <c r="B14">
        <v>0.1</v>
      </c>
    </row>
    <row r="15" spans="1:7" x14ac:dyDescent="0.4">
      <c r="B15">
        <v>0.2</v>
      </c>
    </row>
    <row r="16" spans="1:7" x14ac:dyDescent="0.4">
      <c r="B16">
        <v>0.3</v>
      </c>
    </row>
    <row r="17" spans="2:7" x14ac:dyDescent="0.4">
      <c r="B17">
        <v>0.4</v>
      </c>
    </row>
    <row r="18" spans="2:7" x14ac:dyDescent="0.4">
      <c r="B18">
        <v>0.5</v>
      </c>
    </row>
    <row r="19" spans="2:7" x14ac:dyDescent="0.4">
      <c r="B19">
        <v>0.6</v>
      </c>
    </row>
    <row r="20" spans="2:7" x14ac:dyDescent="0.4">
      <c r="B20">
        <v>0.7</v>
      </c>
    </row>
    <row r="21" spans="2:7" x14ac:dyDescent="0.4">
      <c r="B21">
        <v>0.8</v>
      </c>
    </row>
    <row r="22" spans="2:7" x14ac:dyDescent="0.4">
      <c r="B22">
        <v>0.9</v>
      </c>
    </row>
    <row r="23" spans="2:7" x14ac:dyDescent="0.4">
      <c r="B23">
        <v>1</v>
      </c>
      <c r="C23">
        <f t="shared" si="3"/>
        <v>0</v>
      </c>
      <c r="D23">
        <f t="shared" si="0"/>
        <v>0</v>
      </c>
      <c r="F23">
        <f t="shared" si="1"/>
        <v>1</v>
      </c>
      <c r="G23">
        <f t="shared" si="2"/>
        <v>0</v>
      </c>
    </row>
    <row r="24" spans="2:7" x14ac:dyDescent="0.4">
      <c r="B24">
        <v>1.1000000000000001</v>
      </c>
      <c r="C24">
        <f t="shared" si="3"/>
        <v>0.48062459362791699</v>
      </c>
      <c r="D24">
        <f t="shared" si="0"/>
        <v>0.23100000000000032</v>
      </c>
      <c r="F24">
        <f t="shared" si="1"/>
        <v>1.1000000000000001</v>
      </c>
      <c r="G24">
        <f t="shared" si="2"/>
        <v>-0.48062459362791699</v>
      </c>
    </row>
    <row r="25" spans="2:7" x14ac:dyDescent="0.4">
      <c r="B25">
        <v>1.2</v>
      </c>
      <c r="C25">
        <f t="shared" si="3"/>
        <v>0.72663608498339805</v>
      </c>
      <c r="D25">
        <f t="shared" si="0"/>
        <v>0.52800000000000002</v>
      </c>
      <c r="F25">
        <f t="shared" si="1"/>
        <v>1.2</v>
      </c>
      <c r="G25">
        <f t="shared" si="2"/>
        <v>-0.72663608498339805</v>
      </c>
    </row>
    <row r="26" spans="2:7" x14ac:dyDescent="0.4">
      <c r="B26">
        <v>1.3</v>
      </c>
      <c r="C26">
        <f t="shared" si="3"/>
        <v>0.94710083940412626</v>
      </c>
      <c r="D26">
        <f t="shared" si="0"/>
        <v>0.89700000000000046</v>
      </c>
      <c r="F26">
        <f t="shared" si="1"/>
        <v>1.3</v>
      </c>
      <c r="G26">
        <f t="shared" si="2"/>
        <v>-0.94710083940412626</v>
      </c>
    </row>
    <row r="27" spans="2:7" x14ac:dyDescent="0.4">
      <c r="B27">
        <v>1.4</v>
      </c>
      <c r="C27">
        <f t="shared" si="3"/>
        <v>1.1593101396951548</v>
      </c>
      <c r="D27">
        <f t="shared" si="0"/>
        <v>1.3439999999999994</v>
      </c>
      <c r="F27">
        <f t="shared" si="1"/>
        <v>1.4</v>
      </c>
      <c r="G27">
        <f t="shared" si="2"/>
        <v>-1.1593101396951548</v>
      </c>
    </row>
    <row r="28" spans="2:7" x14ac:dyDescent="0.4">
      <c r="B28">
        <v>1.5</v>
      </c>
      <c r="C28">
        <f t="shared" si="3"/>
        <v>1.3693063937629153</v>
      </c>
      <c r="D28">
        <f t="shared" si="0"/>
        <v>1.875</v>
      </c>
      <c r="F28">
        <f t="shared" si="1"/>
        <v>1.5</v>
      </c>
      <c r="G28">
        <f t="shared" si="2"/>
        <v>-1.3693063937629153</v>
      </c>
    </row>
    <row r="29" spans="2:7" x14ac:dyDescent="0.4">
      <c r="B29">
        <v>1.6</v>
      </c>
      <c r="C29">
        <f t="shared" si="3"/>
        <v>1.5798734126505203</v>
      </c>
      <c r="D29">
        <f t="shared" si="0"/>
        <v>2.4960000000000009</v>
      </c>
      <c r="F29">
        <f t="shared" si="1"/>
        <v>1.6</v>
      </c>
      <c r="G29">
        <f t="shared" si="2"/>
        <v>-1.5798734126505203</v>
      </c>
    </row>
    <row r="30" spans="2:7" x14ac:dyDescent="0.4">
      <c r="B30">
        <v>1.7</v>
      </c>
      <c r="C30">
        <f t="shared" si="3"/>
        <v>1.7924843095547585</v>
      </c>
      <c r="D30">
        <f t="shared" si="0"/>
        <v>3.2129999999999992</v>
      </c>
      <c r="F30">
        <f t="shared" si="1"/>
        <v>1.7</v>
      </c>
      <c r="G30">
        <f t="shared" si="2"/>
        <v>-1.7924843095547585</v>
      </c>
    </row>
    <row r="31" spans="2:7" x14ac:dyDescent="0.4">
      <c r="B31">
        <v>1.8</v>
      </c>
      <c r="C31">
        <f t="shared" si="3"/>
        <v>2.0079840636817816</v>
      </c>
      <c r="D31">
        <f t="shared" si="0"/>
        <v>4.0320000000000009</v>
      </c>
      <c r="F31">
        <f t="shared" si="1"/>
        <v>1.8</v>
      </c>
      <c r="G31">
        <f t="shared" si="2"/>
        <v>-2.0079840636817816</v>
      </c>
    </row>
    <row r="32" spans="2:7" x14ac:dyDescent="0.4">
      <c r="B32">
        <v>1.9</v>
      </c>
      <c r="C32">
        <f t="shared" si="3"/>
        <v>2.2268812271874761</v>
      </c>
      <c r="D32">
        <f t="shared" si="0"/>
        <v>4.9589999999999996</v>
      </c>
      <c r="F32">
        <f t="shared" si="1"/>
        <v>1.9</v>
      </c>
      <c r="G32">
        <f t="shared" si="2"/>
        <v>-2.2268812271874761</v>
      </c>
    </row>
    <row r="33" spans="2:7" x14ac:dyDescent="0.4">
      <c r="B33">
        <v>2</v>
      </c>
      <c r="C33">
        <f t="shared" si="3"/>
        <v>2.4494897427831779</v>
      </c>
      <c r="D33">
        <f t="shared" si="0"/>
        <v>6</v>
      </c>
      <c r="F33">
        <f t="shared" si="1"/>
        <v>2</v>
      </c>
      <c r="G33">
        <f t="shared" si="2"/>
        <v>-2.4494897427831779</v>
      </c>
    </row>
    <row r="34" spans="2:7" x14ac:dyDescent="0.4">
      <c r="B34">
        <v>2.1</v>
      </c>
      <c r="C34">
        <f t="shared" si="3"/>
        <v>2.6760044843011759</v>
      </c>
      <c r="D34">
        <f t="shared" si="0"/>
        <v>7.1610000000000014</v>
      </c>
      <c r="F34">
        <f t="shared" si="1"/>
        <v>2.1</v>
      </c>
      <c r="G34">
        <f t="shared" si="2"/>
        <v>-2.6760044843011759</v>
      </c>
    </row>
    <row r="35" spans="2:7" x14ac:dyDescent="0.4">
      <c r="B35">
        <v>2.2000000000000002</v>
      </c>
      <c r="C35">
        <f t="shared" si="3"/>
        <v>2.9065443399335926</v>
      </c>
      <c r="D35">
        <f t="shared" si="0"/>
        <v>8.448000000000004</v>
      </c>
      <c r="F35">
        <f t="shared" si="1"/>
        <v>2.2000000000000002</v>
      </c>
      <c r="G35">
        <f t="shared" si="2"/>
        <v>-2.9065443399335926</v>
      </c>
    </row>
    <row r="36" spans="2:7" x14ac:dyDescent="0.4">
      <c r="B36">
        <v>2.2999999999999998</v>
      </c>
      <c r="C36">
        <f t="shared" si="3"/>
        <v>3.1411781229341322</v>
      </c>
      <c r="D36">
        <f t="shared" si="0"/>
        <v>9.8669999999999973</v>
      </c>
      <c r="F36">
        <f t="shared" si="1"/>
        <v>2.2999999999999998</v>
      </c>
      <c r="G36">
        <f t="shared" si="2"/>
        <v>-3.1411781229341322</v>
      </c>
    </row>
    <row r="37" spans="2:7" x14ac:dyDescent="0.4">
      <c r="B37">
        <v>2.4</v>
      </c>
      <c r="C37">
        <f t="shared" si="3"/>
        <v>3.3799408278844174</v>
      </c>
      <c r="D37">
        <f t="shared" si="0"/>
        <v>11.423999999999999</v>
      </c>
      <c r="F37">
        <f t="shared" si="1"/>
        <v>2.4</v>
      </c>
      <c r="G37">
        <f t="shared" si="2"/>
        <v>-3.3799408278844174</v>
      </c>
    </row>
    <row r="38" spans="2:7" x14ac:dyDescent="0.4">
      <c r="B38">
        <v>2.5</v>
      </c>
      <c r="C38">
        <f t="shared" si="3"/>
        <v>3.6228441865473595</v>
      </c>
      <c r="D38">
        <f t="shared" si="0"/>
        <v>13.125</v>
      </c>
      <c r="F38">
        <f t="shared" si="1"/>
        <v>2.5</v>
      </c>
      <c r="G38">
        <f t="shared" si="2"/>
        <v>-3.6228441865473595</v>
      </c>
    </row>
    <row r="39" spans="2:7" x14ac:dyDescent="0.4">
      <c r="B39">
        <v>2.6</v>
      </c>
      <c r="C39">
        <f t="shared" si="3"/>
        <v>3.8698837191833042</v>
      </c>
      <c r="D39">
        <f t="shared" si="0"/>
        <v>14.976000000000004</v>
      </c>
      <c r="F39">
        <f t="shared" si="1"/>
        <v>2.6</v>
      </c>
      <c r="G39">
        <f t="shared" si="2"/>
        <v>-3.8698837191833042</v>
      </c>
    </row>
    <row r="40" spans="2:7" x14ac:dyDescent="0.4">
      <c r="B40">
        <v>2.7</v>
      </c>
      <c r="C40">
        <f t="shared" si="3"/>
        <v>4.121043557158794</v>
      </c>
      <c r="D40">
        <f t="shared" si="0"/>
        <v>16.983000000000004</v>
      </c>
      <c r="F40">
        <f t="shared" si="1"/>
        <v>2.7</v>
      </c>
      <c r="G40">
        <f t="shared" si="2"/>
        <v>-4.121043557158794</v>
      </c>
    </row>
    <row r="41" spans="2:7" x14ac:dyDescent="0.4">
      <c r="B41">
        <v>2.8</v>
      </c>
      <c r="C41">
        <f t="shared" si="3"/>
        <v>4.3762998069145116</v>
      </c>
      <c r="D41">
        <f t="shared" si="0"/>
        <v>19.151999999999994</v>
      </c>
      <c r="F41">
        <f t="shared" si="1"/>
        <v>2.8</v>
      </c>
      <c r="G41">
        <f t="shared" si="2"/>
        <v>-4.3762998069145116</v>
      </c>
    </row>
    <row r="42" spans="2:7" x14ac:dyDescent="0.4">
      <c r="B42">
        <v>2.9</v>
      </c>
      <c r="C42">
        <f t="shared" si="3"/>
        <v>4.6356229354855856</v>
      </c>
      <c r="D42">
        <f t="shared" si="0"/>
        <v>21.489000000000001</v>
      </c>
      <c r="F42">
        <f t="shared" si="1"/>
        <v>2.9</v>
      </c>
      <c r="G42">
        <f t="shared" si="2"/>
        <v>-4.6356229354855856</v>
      </c>
    </row>
    <row r="43" spans="2:7" x14ac:dyDescent="0.4">
      <c r="B43">
        <v>3</v>
      </c>
      <c r="C43">
        <f t="shared" si="3"/>
        <v>4.8989794855663558</v>
      </c>
      <c r="D43">
        <f t="shared" si="0"/>
        <v>24</v>
      </c>
      <c r="F43">
        <f t="shared" si="1"/>
        <v>3</v>
      </c>
      <c r="G43">
        <f t="shared" si="2"/>
        <v>-4.8989794855663558</v>
      </c>
    </row>
    <row r="44" spans="2:7" x14ac:dyDescent="0.4">
      <c r="B44">
        <v>3.1</v>
      </c>
      <c r="C44">
        <f t="shared" ref="C44:C107" si="4">SQRT(D44)</f>
        <v>5.1663333225799519</v>
      </c>
      <c r="D44">
        <f t="shared" si="0"/>
        <v>26.691000000000003</v>
      </c>
      <c r="F44">
        <f t="shared" ref="F44:F107" si="5">B44</f>
        <v>3.1</v>
      </c>
      <c r="G44">
        <f t="shared" ref="G44:G107" si="6">C44*-1</f>
        <v>-5.1663333225799519</v>
      </c>
    </row>
    <row r="45" spans="2:7" x14ac:dyDescent="0.4">
      <c r="B45">
        <v>3.2</v>
      </c>
      <c r="C45">
        <f t="shared" si="4"/>
        <v>5.4376465497492577</v>
      </c>
      <c r="D45">
        <f t="shared" si="0"/>
        <v>29.568000000000008</v>
      </c>
      <c r="F45">
        <f t="shared" si="5"/>
        <v>3.2</v>
      </c>
      <c r="G45">
        <f t="shared" si="6"/>
        <v>-5.4376465497492577</v>
      </c>
    </row>
    <row r="46" spans="2:7" x14ac:dyDescent="0.4">
      <c r="B46">
        <v>3.3</v>
      </c>
      <c r="C46">
        <f t="shared" si="4"/>
        <v>5.7128801842853312</v>
      </c>
      <c r="D46">
        <f t="shared" si="0"/>
        <v>32.637</v>
      </c>
      <c r="F46">
        <f t="shared" si="5"/>
        <v>3.3</v>
      </c>
      <c r="G46">
        <f t="shared" si="6"/>
        <v>-5.7128801842853312</v>
      </c>
    </row>
    <row r="47" spans="2:7" x14ac:dyDescent="0.4">
      <c r="B47">
        <v>3.4</v>
      </c>
      <c r="C47">
        <f t="shared" si="4"/>
        <v>5.991994659543681</v>
      </c>
      <c r="D47">
        <f t="shared" si="0"/>
        <v>35.903999999999996</v>
      </c>
      <c r="F47">
        <f t="shared" si="5"/>
        <v>3.4</v>
      </c>
      <c r="G47">
        <f t="shared" si="6"/>
        <v>-5.991994659543681</v>
      </c>
    </row>
    <row r="48" spans="2:7" x14ac:dyDescent="0.4">
      <c r="B48">
        <v>3.5</v>
      </c>
      <c r="C48">
        <f t="shared" si="4"/>
        <v>6.2749501990055663</v>
      </c>
      <c r="D48">
        <f t="shared" si="0"/>
        <v>39.375</v>
      </c>
      <c r="F48">
        <f t="shared" si="5"/>
        <v>3.5</v>
      </c>
      <c r="G48">
        <f t="shared" si="6"/>
        <v>-6.2749501990055663</v>
      </c>
    </row>
    <row r="49" spans="2:7" x14ac:dyDescent="0.4">
      <c r="B49">
        <v>3.6</v>
      </c>
      <c r="C49">
        <f t="shared" si="4"/>
        <v>6.5617070949563123</v>
      </c>
      <c r="D49">
        <f t="shared" si="0"/>
        <v>43.056000000000004</v>
      </c>
      <c r="F49">
        <f t="shared" si="5"/>
        <v>3.6</v>
      </c>
      <c r="G49">
        <f t="shared" si="6"/>
        <v>-6.5617070949563123</v>
      </c>
    </row>
    <row r="50" spans="2:7" x14ac:dyDescent="0.4">
      <c r="B50">
        <v>3.7</v>
      </c>
      <c r="C50">
        <f t="shared" si="4"/>
        <v>6.8522259157152723</v>
      </c>
      <c r="D50">
        <f t="shared" si="0"/>
        <v>46.953000000000003</v>
      </c>
      <c r="F50">
        <f t="shared" si="5"/>
        <v>3.7</v>
      </c>
      <c r="G50">
        <f t="shared" si="6"/>
        <v>-6.8522259157152723</v>
      </c>
    </row>
    <row r="51" spans="2:7" x14ac:dyDescent="0.4">
      <c r="B51">
        <v>3.8</v>
      </c>
      <c r="C51">
        <f t="shared" si="4"/>
        <v>7.1464676589207343</v>
      </c>
      <c r="D51">
        <f t="shared" si="0"/>
        <v>51.071999999999996</v>
      </c>
      <c r="F51">
        <f t="shared" si="5"/>
        <v>3.8</v>
      </c>
      <c r="G51">
        <f t="shared" si="6"/>
        <v>-7.1464676589207343</v>
      </c>
    </row>
    <row r="52" spans="2:7" x14ac:dyDescent="0.4">
      <c r="B52">
        <v>3.9</v>
      </c>
      <c r="C52">
        <f t="shared" si="4"/>
        <v>7.4443938638414338</v>
      </c>
      <c r="D52">
        <f t="shared" si="0"/>
        <v>55.418999999999997</v>
      </c>
      <c r="F52">
        <f t="shared" si="5"/>
        <v>3.9</v>
      </c>
      <c r="G52">
        <f t="shared" si="6"/>
        <v>-7.4443938638414338</v>
      </c>
    </row>
    <row r="53" spans="2:7" x14ac:dyDescent="0.4">
      <c r="B53">
        <v>4</v>
      </c>
      <c r="C53">
        <f t="shared" si="4"/>
        <v>7.745966692414834</v>
      </c>
      <c r="D53">
        <f t="shared" si="0"/>
        <v>60</v>
      </c>
      <c r="F53">
        <f t="shared" si="5"/>
        <v>4</v>
      </c>
      <c r="G53">
        <f t="shared" si="6"/>
        <v>-7.745966692414834</v>
      </c>
    </row>
    <row r="54" spans="2:7" x14ac:dyDescent="0.4">
      <c r="B54">
        <v>4.0999999999999996</v>
      </c>
      <c r="C54">
        <f t="shared" si="4"/>
        <v>8.0511489863248702</v>
      </c>
      <c r="D54">
        <f t="shared" si="0"/>
        <v>64.820999999999998</v>
      </c>
      <c r="F54">
        <f t="shared" si="5"/>
        <v>4.0999999999999996</v>
      </c>
      <c r="G54">
        <f t="shared" si="6"/>
        <v>-8.0511489863248702</v>
      </c>
    </row>
    <row r="55" spans="2:7" x14ac:dyDescent="0.4">
      <c r="B55">
        <v>4.2</v>
      </c>
      <c r="C55">
        <f t="shared" si="4"/>
        <v>8.3599043056724049</v>
      </c>
      <c r="D55">
        <f t="shared" si="0"/>
        <v>69.888000000000005</v>
      </c>
      <c r="F55">
        <f t="shared" si="5"/>
        <v>4.2</v>
      </c>
      <c r="G55">
        <f t="shared" si="6"/>
        <v>-8.3599043056724049</v>
      </c>
    </row>
    <row r="56" spans="2:7" x14ac:dyDescent="0.4">
      <c r="B56">
        <v>4.3</v>
      </c>
      <c r="C56">
        <f t="shared" si="4"/>
        <v>8.6721969534830095</v>
      </c>
      <c r="D56">
        <f t="shared" si="0"/>
        <v>75.206999999999994</v>
      </c>
      <c r="F56">
        <f t="shared" si="5"/>
        <v>4.3</v>
      </c>
      <c r="G56">
        <f t="shared" si="6"/>
        <v>-8.6721969534830095</v>
      </c>
    </row>
    <row r="57" spans="2:7" x14ac:dyDescent="0.4">
      <c r="B57">
        <v>4.4000000000000004</v>
      </c>
      <c r="C57">
        <f t="shared" si="4"/>
        <v>8.9879919893155229</v>
      </c>
      <c r="D57">
        <f t="shared" si="0"/>
        <v>80.78400000000002</v>
      </c>
      <c r="F57">
        <f t="shared" si="5"/>
        <v>4.4000000000000004</v>
      </c>
      <c r="G57">
        <f t="shared" si="6"/>
        <v>-8.9879919893155229</v>
      </c>
    </row>
    <row r="58" spans="2:7" x14ac:dyDescent="0.4">
      <c r="B58">
        <v>4.5</v>
      </c>
      <c r="C58">
        <f t="shared" si="4"/>
        <v>9.3072552344931427</v>
      </c>
      <c r="D58">
        <f t="shared" si="0"/>
        <v>86.625</v>
      </c>
      <c r="F58">
        <f t="shared" si="5"/>
        <v>4.5</v>
      </c>
      <c r="G58">
        <f t="shared" si="6"/>
        <v>-9.3072552344931427</v>
      </c>
    </row>
    <row r="59" spans="2:7" x14ac:dyDescent="0.4">
      <c r="B59">
        <v>4.5999999999999996</v>
      </c>
      <c r="C59">
        <f t="shared" si="4"/>
        <v>9.62995327091466</v>
      </c>
      <c r="D59">
        <f t="shared" si="0"/>
        <v>92.735999999999976</v>
      </c>
      <c r="F59">
        <f t="shared" si="5"/>
        <v>4.5999999999999996</v>
      </c>
      <c r="G59">
        <f t="shared" si="6"/>
        <v>-9.62995327091466</v>
      </c>
    </row>
    <row r="60" spans="2:7" x14ac:dyDescent="0.4">
      <c r="B60">
        <v>4.7</v>
      </c>
      <c r="C60">
        <f t="shared" si="4"/>
        <v>9.9560534349711087</v>
      </c>
      <c r="D60">
        <f t="shared" si="0"/>
        <v>99.123000000000019</v>
      </c>
      <c r="F60">
        <f t="shared" si="5"/>
        <v>4.7</v>
      </c>
      <c r="G60">
        <f t="shared" si="6"/>
        <v>-9.9560534349711087</v>
      </c>
    </row>
    <row r="61" spans="2:7" x14ac:dyDescent="0.4">
      <c r="B61">
        <v>4.8</v>
      </c>
      <c r="C61">
        <f t="shared" si="4"/>
        <v>10.285523807760109</v>
      </c>
      <c r="D61">
        <f t="shared" si="0"/>
        <v>105.792</v>
      </c>
      <c r="F61">
        <f t="shared" si="5"/>
        <v>4.8</v>
      </c>
      <c r="G61">
        <f t="shared" si="6"/>
        <v>-10.285523807760109</v>
      </c>
    </row>
    <row r="62" spans="2:7" x14ac:dyDescent="0.4">
      <c r="B62">
        <v>4.9000000000000004</v>
      </c>
      <c r="C62">
        <f t="shared" si="4"/>
        <v>10.618333202532309</v>
      </c>
      <c r="D62">
        <f t="shared" ref="D62:D113" si="7">B62^3-B62</f>
        <v>112.74900000000002</v>
      </c>
      <c r="F62">
        <f t="shared" si="5"/>
        <v>4.9000000000000004</v>
      </c>
      <c r="G62">
        <f t="shared" si="6"/>
        <v>-10.618333202532309</v>
      </c>
    </row>
    <row r="63" spans="2:7" x14ac:dyDescent="0.4">
      <c r="B63">
        <v>5</v>
      </c>
      <c r="C63">
        <f t="shared" si="4"/>
        <v>10.954451150103322</v>
      </c>
      <c r="D63">
        <f t="shared" si="7"/>
        <v>120</v>
      </c>
      <c r="F63">
        <f t="shared" si="5"/>
        <v>5</v>
      </c>
      <c r="G63">
        <f t="shared" si="6"/>
        <v>-10.954451150103322</v>
      </c>
    </row>
    <row r="64" spans="2:7" x14ac:dyDescent="0.4">
      <c r="B64">
        <v>5.0999999999999996</v>
      </c>
      <c r="C64">
        <f t="shared" si="4"/>
        <v>11.2938478828077</v>
      </c>
      <c r="D64">
        <f t="shared" si="7"/>
        <v>127.55099999999999</v>
      </c>
      <c r="F64">
        <f t="shared" si="5"/>
        <v>5.0999999999999996</v>
      </c>
      <c r="G64">
        <f t="shared" si="6"/>
        <v>-11.2938478828077</v>
      </c>
    </row>
    <row r="65" spans="2:7" x14ac:dyDescent="0.4">
      <c r="B65">
        <v>5.2</v>
      </c>
      <c r="C65">
        <f t="shared" si="4"/>
        <v>11.636494317448019</v>
      </c>
      <c r="D65">
        <f t="shared" si="7"/>
        <v>135.40800000000004</v>
      </c>
      <c r="F65">
        <f t="shared" si="5"/>
        <v>5.2</v>
      </c>
      <c r="G65">
        <f t="shared" si="6"/>
        <v>-11.636494317448019</v>
      </c>
    </row>
    <row r="66" spans="2:7" x14ac:dyDescent="0.4">
      <c r="B66">
        <v>5.3</v>
      </c>
      <c r="C66">
        <f t="shared" si="4"/>
        <v>11.98236203759509</v>
      </c>
      <c r="D66">
        <f t="shared" si="7"/>
        <v>143.57699999999997</v>
      </c>
      <c r="F66">
        <f t="shared" si="5"/>
        <v>5.3</v>
      </c>
      <c r="G66">
        <f t="shared" si="6"/>
        <v>-11.98236203759509</v>
      </c>
    </row>
    <row r="67" spans="2:7" x14ac:dyDescent="0.4">
      <c r="B67">
        <v>5.4</v>
      </c>
      <c r="C67">
        <f t="shared" si="4"/>
        <v>12.331423275518524</v>
      </c>
      <c r="D67">
        <f t="shared" si="7"/>
        <v>152.06400000000002</v>
      </c>
      <c r="F67">
        <f t="shared" si="5"/>
        <v>5.4</v>
      </c>
      <c r="G67">
        <f t="shared" si="6"/>
        <v>-12.331423275518524</v>
      </c>
    </row>
    <row r="68" spans="2:7" x14ac:dyDescent="0.4">
      <c r="B68">
        <v>5.5</v>
      </c>
      <c r="C68">
        <f t="shared" si="4"/>
        <v>12.683650893965822</v>
      </c>
      <c r="D68">
        <f t="shared" si="7"/>
        <v>160.875</v>
      </c>
      <c r="F68">
        <f t="shared" si="5"/>
        <v>5.5</v>
      </c>
      <c r="G68">
        <f t="shared" si="6"/>
        <v>-12.683650893965822</v>
      </c>
    </row>
    <row r="69" spans="2:7" x14ac:dyDescent="0.4">
      <c r="B69">
        <v>5.6</v>
      </c>
      <c r="C69">
        <f t="shared" si="4"/>
        <v>13.039018367960065</v>
      </c>
      <c r="D69">
        <f t="shared" si="7"/>
        <v>170.01599999999996</v>
      </c>
      <c r="F69">
        <f t="shared" si="5"/>
        <v>5.6</v>
      </c>
      <c r="G69">
        <f t="shared" si="6"/>
        <v>-13.039018367960065</v>
      </c>
    </row>
    <row r="70" spans="2:7" x14ac:dyDescent="0.4">
      <c r="B70">
        <v>5.7</v>
      </c>
      <c r="C70">
        <f t="shared" si="4"/>
        <v>13.397499766747526</v>
      </c>
      <c r="D70">
        <f t="shared" si="7"/>
        <v>179.49300000000002</v>
      </c>
      <c r="F70">
        <f t="shared" si="5"/>
        <v>5.7</v>
      </c>
      <c r="G70">
        <f t="shared" si="6"/>
        <v>-13.397499766747526</v>
      </c>
    </row>
    <row r="71" spans="2:7" x14ac:dyDescent="0.4">
      <c r="B71">
        <v>5.8</v>
      </c>
      <c r="C71">
        <f t="shared" si="4"/>
        <v>13.759069735995961</v>
      </c>
      <c r="D71">
        <f t="shared" si="7"/>
        <v>189.31199999999998</v>
      </c>
      <c r="F71">
        <f t="shared" si="5"/>
        <v>5.8</v>
      </c>
      <c r="G71">
        <f t="shared" si="6"/>
        <v>-13.759069735995961</v>
      </c>
    </row>
    <row r="72" spans="2:7" x14ac:dyDescent="0.4">
      <c r="B72">
        <v>5.9</v>
      </c>
      <c r="C72">
        <f t="shared" si="4"/>
        <v>14.123703480319884</v>
      </c>
      <c r="D72">
        <f t="shared" si="7"/>
        <v>199.47900000000001</v>
      </c>
      <c r="F72">
        <f t="shared" si="5"/>
        <v>5.9</v>
      </c>
      <c r="G72">
        <f t="shared" si="6"/>
        <v>-14.123703480319884</v>
      </c>
    </row>
    <row r="73" spans="2:7" x14ac:dyDescent="0.4">
      <c r="B73">
        <v>6</v>
      </c>
      <c r="C73">
        <f t="shared" si="4"/>
        <v>14.491376746189438</v>
      </c>
      <c r="D73">
        <f t="shared" si="7"/>
        <v>210</v>
      </c>
      <c r="F73">
        <f t="shared" si="5"/>
        <v>6</v>
      </c>
      <c r="G73">
        <f t="shared" si="6"/>
        <v>-14.491376746189438</v>
      </c>
    </row>
    <row r="74" spans="2:7" x14ac:dyDescent="0.4">
      <c r="B74">
        <v>6.1</v>
      </c>
      <c r="C74">
        <f t="shared" si="4"/>
        <v>14.862065805264082</v>
      </c>
      <c r="D74">
        <f t="shared" si="7"/>
        <v>220.88099999999994</v>
      </c>
      <c r="F74">
        <f t="shared" si="5"/>
        <v>6.1</v>
      </c>
      <c r="G74">
        <f t="shared" si="6"/>
        <v>-14.862065805264082</v>
      </c>
    </row>
    <row r="75" spans="2:7" x14ac:dyDescent="0.4">
      <c r="B75">
        <v>6.2</v>
      </c>
      <c r="C75">
        <f t="shared" si="4"/>
        <v>15.235747438179725</v>
      </c>
      <c r="D75">
        <f t="shared" si="7"/>
        <v>232.12800000000004</v>
      </c>
      <c r="F75">
        <f t="shared" si="5"/>
        <v>6.2</v>
      </c>
      <c r="G75">
        <f t="shared" si="6"/>
        <v>-15.235747438179725</v>
      </c>
    </row>
    <row r="76" spans="2:7" x14ac:dyDescent="0.4">
      <c r="B76">
        <v>6.3</v>
      </c>
      <c r="C76">
        <f t="shared" si="4"/>
        <v>15.612398918808088</v>
      </c>
      <c r="D76">
        <f t="shared" si="7"/>
        <v>243.74699999999996</v>
      </c>
      <c r="F76">
        <f t="shared" si="5"/>
        <v>6.3</v>
      </c>
      <c r="G76">
        <f t="shared" si="6"/>
        <v>-15.612398918808088</v>
      </c>
    </row>
    <row r="77" spans="2:7" x14ac:dyDescent="0.4">
      <c r="B77">
        <v>6.4</v>
      </c>
      <c r="C77">
        <f t="shared" si="4"/>
        <v>15.991997998999377</v>
      </c>
      <c r="D77">
        <f t="shared" si="7"/>
        <v>255.74400000000006</v>
      </c>
      <c r="F77">
        <f t="shared" si="5"/>
        <v>6.4</v>
      </c>
      <c r="G77">
        <f t="shared" si="6"/>
        <v>-15.991997998999377</v>
      </c>
    </row>
    <row r="78" spans="2:7" x14ac:dyDescent="0.4">
      <c r="B78">
        <v>6.5</v>
      </c>
      <c r="C78">
        <f t="shared" si="4"/>
        <v>16.374522893812816</v>
      </c>
      <c r="D78">
        <f t="shared" si="7"/>
        <v>268.125</v>
      </c>
      <c r="F78">
        <f t="shared" si="5"/>
        <v>6.5</v>
      </c>
      <c r="G78">
        <f t="shared" si="6"/>
        <v>-16.374522893812816</v>
      </c>
    </row>
    <row r="79" spans="2:7" x14ac:dyDescent="0.4">
      <c r="B79">
        <v>6.6</v>
      </c>
      <c r="C79">
        <f t="shared" si="4"/>
        <v>16.759952267235128</v>
      </c>
      <c r="D79">
        <f t="shared" si="7"/>
        <v>280.89599999999996</v>
      </c>
      <c r="F79">
        <f t="shared" si="5"/>
        <v>6.6</v>
      </c>
      <c r="G79">
        <f t="shared" si="6"/>
        <v>-16.759952267235128</v>
      </c>
    </row>
    <row r="80" spans="2:7" x14ac:dyDescent="0.4">
      <c r="B80">
        <v>6.7</v>
      </c>
      <c r="C80">
        <f t="shared" si="4"/>
        <v>17.148265218382878</v>
      </c>
      <c r="D80">
        <f t="shared" si="7"/>
        <v>294.06300000000005</v>
      </c>
      <c r="F80">
        <f t="shared" si="5"/>
        <v>6.7</v>
      </c>
      <c r="G80">
        <f t="shared" si="6"/>
        <v>-17.148265218382878</v>
      </c>
    </row>
    <row r="81" spans="2:7" x14ac:dyDescent="0.4">
      <c r="B81">
        <v>6.8</v>
      </c>
      <c r="C81">
        <f t="shared" si="4"/>
        <v>17.539441268181832</v>
      </c>
      <c r="D81">
        <f t="shared" si="7"/>
        <v>307.63199999999995</v>
      </c>
      <c r="F81">
        <f t="shared" si="5"/>
        <v>6.8</v>
      </c>
      <c r="G81">
        <f t="shared" si="6"/>
        <v>-17.539441268181832</v>
      </c>
    </row>
    <row r="82" spans="2:7" x14ac:dyDescent="0.4">
      <c r="B82">
        <v>6.9</v>
      </c>
      <c r="C82">
        <f t="shared" si="4"/>
        <v>17.933460346514281</v>
      </c>
      <c r="D82">
        <f t="shared" si="7"/>
        <v>321.60900000000009</v>
      </c>
      <c r="F82">
        <f t="shared" si="5"/>
        <v>6.9</v>
      </c>
      <c r="G82">
        <f t="shared" si="6"/>
        <v>-17.933460346514281</v>
      </c>
    </row>
    <row r="83" spans="2:7" x14ac:dyDescent="0.4">
      <c r="B83">
        <v>7</v>
      </c>
      <c r="C83">
        <f t="shared" si="4"/>
        <v>18.330302779823359</v>
      </c>
      <c r="D83">
        <f t="shared" si="7"/>
        <v>336</v>
      </c>
      <c r="F83">
        <f t="shared" si="5"/>
        <v>7</v>
      </c>
      <c r="G83">
        <f t="shared" si="6"/>
        <v>-18.330302779823359</v>
      </c>
    </row>
    <row r="84" spans="2:7" x14ac:dyDescent="0.4">
      <c r="B84">
        <v>7.1</v>
      </c>
      <c r="C84">
        <f t="shared" si="4"/>
        <v>18.729949279162501</v>
      </c>
      <c r="D84">
        <f t="shared" si="7"/>
        <v>350.81099999999992</v>
      </c>
      <c r="F84">
        <f t="shared" si="5"/>
        <v>7.1</v>
      </c>
      <c r="G84">
        <f t="shared" si="6"/>
        <v>-18.729949279162501</v>
      </c>
    </row>
    <row r="85" spans="2:7" x14ac:dyDescent="0.4">
      <c r="B85">
        <v>7.2</v>
      </c>
      <c r="C85">
        <f t="shared" si="4"/>
        <v>19.132380928676913</v>
      </c>
      <c r="D85">
        <f t="shared" si="7"/>
        <v>366.04800000000006</v>
      </c>
      <c r="F85">
        <f t="shared" si="5"/>
        <v>7.2</v>
      </c>
      <c r="G85">
        <f t="shared" si="6"/>
        <v>-19.132380928676913</v>
      </c>
    </row>
    <row r="86" spans="2:7" x14ac:dyDescent="0.4">
      <c r="B86">
        <v>7.3</v>
      </c>
      <c r="C86">
        <f t="shared" si="4"/>
        <v>19.537579174503684</v>
      </c>
      <c r="D86">
        <f t="shared" si="7"/>
        <v>381.71699999999998</v>
      </c>
      <c r="F86">
        <f t="shared" si="5"/>
        <v>7.3</v>
      </c>
      <c r="G86">
        <f t="shared" si="6"/>
        <v>-19.537579174503684</v>
      </c>
    </row>
    <row r="87" spans="2:7" x14ac:dyDescent="0.4">
      <c r="B87">
        <v>7.4</v>
      </c>
      <c r="C87">
        <f t="shared" si="4"/>
        <v>19.945525814076703</v>
      </c>
      <c r="D87">
        <f t="shared" si="7"/>
        <v>397.82400000000007</v>
      </c>
      <c r="F87">
        <f t="shared" si="5"/>
        <v>7.4</v>
      </c>
      <c r="G87">
        <f t="shared" si="6"/>
        <v>-19.945525814076703</v>
      </c>
    </row>
    <row r="88" spans="2:7" x14ac:dyDescent="0.4">
      <c r="B88">
        <v>7.5</v>
      </c>
      <c r="C88">
        <f t="shared" si="4"/>
        <v>20.356202985822282</v>
      </c>
      <c r="D88">
        <f t="shared" si="7"/>
        <v>414.375</v>
      </c>
      <c r="F88">
        <f t="shared" si="5"/>
        <v>7.5</v>
      </c>
      <c r="G88">
        <f t="shared" si="6"/>
        <v>-20.356202985822282</v>
      </c>
    </row>
    <row r="89" spans="2:7" x14ac:dyDescent="0.4">
      <c r="B89">
        <v>7.6</v>
      </c>
      <c r="C89">
        <f t="shared" si="4"/>
        <v>20.769593159231597</v>
      </c>
      <c r="D89">
        <f t="shared" si="7"/>
        <v>431.37599999999992</v>
      </c>
      <c r="F89">
        <f t="shared" si="5"/>
        <v>7.6</v>
      </c>
      <c r="G89">
        <f t="shared" si="6"/>
        <v>-20.769593159231597</v>
      </c>
    </row>
    <row r="90" spans="2:7" x14ac:dyDescent="0.4">
      <c r="B90">
        <v>7.7</v>
      </c>
      <c r="C90">
        <f t="shared" si="4"/>
        <v>21.185679125295938</v>
      </c>
      <c r="D90">
        <f t="shared" si="7"/>
        <v>448.83300000000008</v>
      </c>
      <c r="F90">
        <f t="shared" si="5"/>
        <v>7.7</v>
      </c>
      <c r="G90">
        <f t="shared" si="6"/>
        <v>-21.185679125295938</v>
      </c>
    </row>
    <row r="91" spans="2:7" x14ac:dyDescent="0.4">
      <c r="B91">
        <v>7.8</v>
      </c>
      <c r="C91">
        <f t="shared" si="4"/>
        <v>21.60444398729113</v>
      </c>
      <c r="D91">
        <f t="shared" si="7"/>
        <v>466.75199999999995</v>
      </c>
      <c r="F91">
        <f t="shared" si="5"/>
        <v>7.8</v>
      </c>
      <c r="G91">
        <f t="shared" si="6"/>
        <v>-21.60444398729113</v>
      </c>
    </row>
    <row r="92" spans="2:7" x14ac:dyDescent="0.4">
      <c r="B92">
        <v>7.9</v>
      </c>
      <c r="C92">
        <f t="shared" si="4"/>
        <v>22.025871151897718</v>
      </c>
      <c r="D92">
        <f t="shared" si="7"/>
        <v>485.13900000000007</v>
      </c>
      <c r="F92">
        <f t="shared" si="5"/>
        <v>7.9</v>
      </c>
      <c r="G92">
        <f t="shared" si="6"/>
        <v>-22.025871151897718</v>
      </c>
    </row>
    <row r="93" spans="2:7" x14ac:dyDescent="0.4">
      <c r="B93">
        <v>8</v>
      </c>
      <c r="C93">
        <f t="shared" si="4"/>
        <v>22.449944320643649</v>
      </c>
      <c r="D93">
        <f t="shared" si="7"/>
        <v>504</v>
      </c>
      <c r="F93">
        <f t="shared" si="5"/>
        <v>8</v>
      </c>
      <c r="G93">
        <f t="shared" si="6"/>
        <v>-22.449944320643649</v>
      </c>
    </row>
    <row r="94" spans="2:7" x14ac:dyDescent="0.4">
      <c r="B94">
        <v>8.1</v>
      </c>
      <c r="C94">
        <f t="shared" si="4"/>
        <v>22.876647481656921</v>
      </c>
      <c r="D94">
        <f t="shared" si="7"/>
        <v>523.34099999999989</v>
      </c>
      <c r="F94">
        <f t="shared" si="5"/>
        <v>8.1</v>
      </c>
      <c r="G94">
        <f t="shared" si="6"/>
        <v>-22.876647481656921</v>
      </c>
    </row>
    <row r="95" spans="2:7" x14ac:dyDescent="0.4">
      <c r="B95">
        <v>8.1999999999999993</v>
      </c>
      <c r="C95">
        <f t="shared" si="4"/>
        <v>23.305964901715608</v>
      </c>
      <c r="D95">
        <f t="shared" si="7"/>
        <v>543.16799999999989</v>
      </c>
      <c r="F95">
        <f t="shared" si="5"/>
        <v>8.1999999999999993</v>
      </c>
      <c r="G95">
        <f t="shared" si="6"/>
        <v>-23.305964901715608</v>
      </c>
    </row>
    <row r="96" spans="2:7" x14ac:dyDescent="0.4">
      <c r="B96">
        <v>8.3000000000000007</v>
      </c>
      <c r="C96">
        <f t="shared" si="4"/>
        <v>23.737881118583442</v>
      </c>
      <c r="D96">
        <f t="shared" si="7"/>
        <v>563.48700000000019</v>
      </c>
      <c r="F96">
        <f t="shared" si="5"/>
        <v>8.3000000000000007</v>
      </c>
      <c r="G96">
        <f t="shared" si="6"/>
        <v>-23.737881118583442</v>
      </c>
    </row>
    <row r="97" spans="2:7" x14ac:dyDescent="0.4">
      <c r="B97">
        <v>8.4000000000000092</v>
      </c>
      <c r="C97">
        <f t="shared" si="4"/>
        <v>24.172380933619305</v>
      </c>
      <c r="D97">
        <f t="shared" si="7"/>
        <v>584.30400000000202</v>
      </c>
      <c r="F97">
        <f t="shared" si="5"/>
        <v>8.4000000000000092</v>
      </c>
      <c r="G97">
        <f t="shared" si="6"/>
        <v>-24.172380933619305</v>
      </c>
    </row>
    <row r="98" spans="2:7" x14ac:dyDescent="0.4">
      <c r="B98">
        <v>8.5</v>
      </c>
      <c r="C98">
        <f t="shared" si="4"/>
        <v>24.609449404649425</v>
      </c>
      <c r="D98">
        <f t="shared" si="7"/>
        <v>605.625</v>
      </c>
      <c r="F98">
        <f t="shared" si="5"/>
        <v>8.5</v>
      </c>
      <c r="G98">
        <f t="shared" si="6"/>
        <v>-24.609449404649425</v>
      </c>
    </row>
    <row r="99" spans="2:7" x14ac:dyDescent="0.4">
      <c r="B99">
        <v>8.6</v>
      </c>
      <c r="C99">
        <f t="shared" si="4"/>
        <v>25.049071839092161</v>
      </c>
      <c r="D99">
        <f t="shared" si="7"/>
        <v>627.4559999999999</v>
      </c>
      <c r="F99">
        <f t="shared" si="5"/>
        <v>8.6</v>
      </c>
      <c r="G99">
        <f t="shared" si="6"/>
        <v>-25.049071839092161</v>
      </c>
    </row>
    <row r="100" spans="2:7" x14ac:dyDescent="0.4">
      <c r="B100">
        <v>8.7000000000000099</v>
      </c>
      <c r="C100">
        <f t="shared" si="4"/>
        <v>25.491233787323871</v>
      </c>
      <c r="D100">
        <f t="shared" si="7"/>
        <v>649.80300000000216</v>
      </c>
      <c r="F100">
        <f t="shared" si="5"/>
        <v>8.7000000000000099</v>
      </c>
      <c r="G100">
        <f t="shared" si="6"/>
        <v>-25.491233787323871</v>
      </c>
    </row>
    <row r="101" spans="2:7" x14ac:dyDescent="0.4">
      <c r="B101">
        <v>8.8000000000000096</v>
      </c>
      <c r="C101">
        <f t="shared" si="4"/>
        <v>25.935921036277126</v>
      </c>
      <c r="D101">
        <f t="shared" si="7"/>
        <v>672.6720000000023</v>
      </c>
      <c r="F101">
        <f t="shared" si="5"/>
        <v>8.8000000000000096</v>
      </c>
      <c r="G101">
        <f t="shared" si="6"/>
        <v>-25.935921036277126</v>
      </c>
    </row>
    <row r="102" spans="2:7" x14ac:dyDescent="0.4">
      <c r="B102">
        <v>8.9000000000000092</v>
      </c>
      <c r="C102">
        <f t="shared" si="4"/>
        <v>26.38311960326152</v>
      </c>
      <c r="D102">
        <f t="shared" si="7"/>
        <v>696.06900000000223</v>
      </c>
      <c r="F102">
        <f t="shared" si="5"/>
        <v>8.9000000000000092</v>
      </c>
      <c r="G102">
        <f t="shared" si="6"/>
        <v>-26.38311960326152</v>
      </c>
    </row>
    <row r="103" spans="2:7" x14ac:dyDescent="0.4">
      <c r="B103">
        <v>9</v>
      </c>
      <c r="C103">
        <f t="shared" si="4"/>
        <v>26.832815729997478</v>
      </c>
      <c r="D103">
        <f t="shared" si="7"/>
        <v>720</v>
      </c>
      <c r="F103">
        <f t="shared" si="5"/>
        <v>9</v>
      </c>
      <c r="G103">
        <f t="shared" si="6"/>
        <v>-26.832815729997478</v>
      </c>
    </row>
    <row r="104" spans="2:7" x14ac:dyDescent="0.4">
      <c r="B104">
        <v>9.1000000000000103</v>
      </c>
      <c r="C104">
        <f t="shared" si="4"/>
        <v>27.284995876855149</v>
      </c>
      <c r="D104">
        <f t="shared" si="7"/>
        <v>744.4710000000025</v>
      </c>
      <c r="F104">
        <f t="shared" si="5"/>
        <v>9.1000000000000103</v>
      </c>
      <c r="G104">
        <f t="shared" si="6"/>
        <v>-27.284995876855149</v>
      </c>
    </row>
    <row r="105" spans="2:7" x14ac:dyDescent="0.4">
      <c r="B105">
        <v>9.2000000000000099</v>
      </c>
      <c r="C105">
        <f t="shared" si="4"/>
        <v>27.739646717289002</v>
      </c>
      <c r="D105">
        <f t="shared" si="7"/>
        <v>769.48800000000256</v>
      </c>
      <c r="F105">
        <f t="shared" si="5"/>
        <v>9.2000000000000099</v>
      </c>
      <c r="G105">
        <f t="shared" si="6"/>
        <v>-27.739646717289002</v>
      </c>
    </row>
    <row r="106" spans="2:7" x14ac:dyDescent="0.4">
      <c r="B106">
        <v>9.3000000000000096</v>
      </c>
      <c r="C106">
        <f t="shared" si="4"/>
        <v>28.196755132461654</v>
      </c>
      <c r="D106">
        <f t="shared" si="7"/>
        <v>795.05700000000252</v>
      </c>
      <c r="F106">
        <f t="shared" si="5"/>
        <v>9.3000000000000096</v>
      </c>
      <c r="G106">
        <f t="shared" si="6"/>
        <v>-28.196755132461654</v>
      </c>
    </row>
    <row r="107" spans="2:7" x14ac:dyDescent="0.4">
      <c r="B107">
        <v>9.4000000000000092</v>
      </c>
      <c r="C107">
        <f t="shared" si="4"/>
        <v>28.6563082060478</v>
      </c>
      <c r="D107">
        <f t="shared" si="7"/>
        <v>821.18400000000247</v>
      </c>
      <c r="F107">
        <f t="shared" si="5"/>
        <v>9.4000000000000092</v>
      </c>
      <c r="G107">
        <f t="shared" si="6"/>
        <v>-28.6563082060478</v>
      </c>
    </row>
    <row r="108" spans="2:7" x14ac:dyDescent="0.4">
      <c r="B108">
        <v>9.5000000000000107</v>
      </c>
      <c r="C108">
        <f t="shared" ref="C108:C113" si="8">SQRT(D108)</f>
        <v>29.118293219211921</v>
      </c>
      <c r="D108">
        <f t="shared" si="7"/>
        <v>847.87500000000284</v>
      </c>
      <c r="F108">
        <f t="shared" ref="F108:F113" si="9">B108</f>
        <v>9.5000000000000107</v>
      </c>
      <c r="G108">
        <f t="shared" ref="G108:G113" si="10">C108*-1</f>
        <v>-29.118293219211921</v>
      </c>
    </row>
    <row r="109" spans="2:7" x14ac:dyDescent="0.4">
      <c r="B109">
        <v>9.6000000000000103</v>
      </c>
      <c r="C109">
        <f t="shared" si="8"/>
        <v>29.582697645752368</v>
      </c>
      <c r="D109">
        <f t="shared" si="7"/>
        <v>875.13600000000281</v>
      </c>
      <c r="F109">
        <f t="shared" si="9"/>
        <v>9.6000000000000103</v>
      </c>
      <c r="G109">
        <f t="shared" si="10"/>
        <v>-29.582697645752368</v>
      </c>
    </row>
    <row r="110" spans="2:7" x14ac:dyDescent="0.4">
      <c r="B110">
        <v>9.7000000000000099</v>
      </c>
      <c r="C110">
        <f t="shared" si="8"/>
        <v>30.049509147405431</v>
      </c>
      <c r="D110">
        <f t="shared" si="7"/>
        <v>902.97300000000268</v>
      </c>
      <c r="F110">
        <f t="shared" si="9"/>
        <v>9.7000000000000099</v>
      </c>
      <c r="G110">
        <f t="shared" si="10"/>
        <v>-30.049509147405431</v>
      </c>
    </row>
    <row r="111" spans="2:7" x14ac:dyDescent="0.4">
      <c r="B111">
        <v>9.8000000000000096</v>
      </c>
      <c r="C111">
        <f t="shared" si="8"/>
        <v>30.518715569302763</v>
      </c>
      <c r="D111">
        <f t="shared" si="7"/>
        <v>931.39200000000289</v>
      </c>
      <c r="F111">
        <f t="shared" si="9"/>
        <v>9.8000000000000096</v>
      </c>
      <c r="G111">
        <f t="shared" si="10"/>
        <v>-30.518715569302763</v>
      </c>
    </row>
    <row r="112" spans="2:7" x14ac:dyDescent="0.4">
      <c r="B112">
        <v>9.9000000000000092</v>
      </c>
      <c r="C112">
        <f t="shared" si="8"/>
        <v>30.990304935576269</v>
      </c>
      <c r="D112">
        <f t="shared" si="7"/>
        <v>960.39900000000284</v>
      </c>
      <c r="F112">
        <f t="shared" si="9"/>
        <v>9.9000000000000092</v>
      </c>
      <c r="G112">
        <f t="shared" si="10"/>
        <v>-30.990304935576269</v>
      </c>
    </row>
    <row r="113" spans="2:7" x14ac:dyDescent="0.4">
      <c r="B113">
        <v>10</v>
      </c>
      <c r="C113">
        <f t="shared" si="8"/>
        <v>31.464265445104548</v>
      </c>
      <c r="D113">
        <f t="shared" si="7"/>
        <v>990</v>
      </c>
      <c r="F113">
        <f t="shared" si="9"/>
        <v>10</v>
      </c>
      <c r="G113">
        <f t="shared" si="10"/>
        <v>-31.464265445104548</v>
      </c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464CD-09BD-4106-B30E-433DF1BCC4CE}">
  <sheetPr codeName="Sheet5"/>
  <dimension ref="A1:F13"/>
  <sheetViews>
    <sheetView topLeftCell="A10" workbookViewId="0">
      <selection activeCell="X16" sqref="X16"/>
    </sheetView>
  </sheetViews>
  <sheetFormatPr defaultRowHeight="18.75" x14ac:dyDescent="0.4"/>
  <sheetData>
    <row r="1" spans="1:6" x14ac:dyDescent="0.4">
      <c r="B1" t="s">
        <v>16</v>
      </c>
    </row>
    <row r="2" spans="1:6" x14ac:dyDescent="0.4">
      <c r="B2" t="s">
        <v>17</v>
      </c>
      <c r="C2" t="s">
        <v>18</v>
      </c>
      <c r="D2" t="s">
        <v>20</v>
      </c>
      <c r="E2" t="s">
        <v>23</v>
      </c>
    </row>
    <row r="3" spans="1:6" x14ac:dyDescent="0.4">
      <c r="A3" t="s">
        <v>19</v>
      </c>
      <c r="B3">
        <v>4</v>
      </c>
      <c r="C3">
        <v>11</v>
      </c>
      <c r="D3">
        <v>-1</v>
      </c>
      <c r="E3">
        <v>61</v>
      </c>
    </row>
    <row r="5" spans="1:6" x14ac:dyDescent="0.4">
      <c r="F5" t="s">
        <v>24</v>
      </c>
    </row>
    <row r="6" spans="1:6" x14ac:dyDescent="0.4">
      <c r="B6">
        <v>47</v>
      </c>
      <c r="C6">
        <v>54</v>
      </c>
      <c r="E6">
        <v>22</v>
      </c>
      <c r="F6">
        <v>25</v>
      </c>
    </row>
    <row r="7" spans="1:6" x14ac:dyDescent="0.4">
      <c r="B7" t="s">
        <v>21</v>
      </c>
      <c r="C7" t="s">
        <v>22</v>
      </c>
    </row>
    <row r="8" spans="1:6" x14ac:dyDescent="0.4">
      <c r="B8">
        <f>MOD(B6*25,61)</f>
        <v>16</v>
      </c>
      <c r="C8">
        <f>MOD(C6*25,61)</f>
        <v>8</v>
      </c>
    </row>
    <row r="11" spans="1:6" x14ac:dyDescent="0.4">
      <c r="B11" t="s">
        <v>25</v>
      </c>
      <c r="C11" t="s">
        <v>26</v>
      </c>
    </row>
    <row r="12" spans="1:6" x14ac:dyDescent="0.4">
      <c r="B12">
        <f>B8^2-8</f>
        <v>248</v>
      </c>
      <c r="C12">
        <f>-72</f>
        <v>-72</v>
      </c>
    </row>
    <row r="13" spans="1:6" x14ac:dyDescent="0.4">
      <c r="B13">
        <f>MOD(B12,61)</f>
        <v>4</v>
      </c>
      <c r="C13">
        <f>MOD(C12,61)</f>
        <v>50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1B8CE-9411-430E-A5EF-86F149966C28}">
  <dimension ref="A1"/>
  <sheetViews>
    <sheetView topLeftCell="A10" workbookViewId="0">
      <selection activeCell="R31" sqref="R31"/>
    </sheetView>
  </sheetViews>
  <sheetFormatPr defaultRowHeight="18.75" x14ac:dyDescent="0.4"/>
  <sheetData/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58F87-1DD2-430E-AEDB-59F5BAAD9DE4}">
  <sheetPr codeName="Sheet6"/>
  <dimension ref="A1"/>
  <sheetViews>
    <sheetView workbookViewId="0">
      <selection activeCell="G24" sqref="G24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E1B2C-AC1B-498D-BEED-56684DC14CDA}">
  <dimension ref="B24:C59"/>
  <sheetViews>
    <sheetView workbookViewId="0">
      <selection activeCell="I22" sqref="I22"/>
    </sheetView>
  </sheetViews>
  <sheetFormatPr defaultRowHeight="18.75" x14ac:dyDescent="0.4"/>
  <sheetData>
    <row r="24" spans="2:3" x14ac:dyDescent="0.4">
      <c r="B24" s="4"/>
      <c r="C24" s="4"/>
    </row>
    <row r="25" spans="2:3" x14ac:dyDescent="0.4">
      <c r="C25" s="4"/>
    </row>
    <row r="26" spans="2:3" x14ac:dyDescent="0.4">
      <c r="B26" s="4"/>
      <c r="C26" s="4"/>
    </row>
    <row r="27" spans="2:3" x14ac:dyDescent="0.4">
      <c r="C27" s="4"/>
    </row>
    <row r="28" spans="2:3" x14ac:dyDescent="0.4">
      <c r="B28" s="4"/>
      <c r="C28" s="4"/>
    </row>
    <row r="29" spans="2:3" x14ac:dyDescent="0.4">
      <c r="C29" s="4"/>
    </row>
    <row r="30" spans="2:3" x14ac:dyDescent="0.4">
      <c r="B30" s="4"/>
      <c r="C30" s="4"/>
    </row>
    <row r="31" spans="2:3" x14ac:dyDescent="0.4">
      <c r="C31" s="4"/>
    </row>
    <row r="32" spans="2:3" x14ac:dyDescent="0.4">
      <c r="B32" s="4"/>
      <c r="C32" s="4"/>
    </row>
    <row r="33" spans="2:3" x14ac:dyDescent="0.4">
      <c r="C33" s="4"/>
    </row>
    <row r="34" spans="2:3" x14ac:dyDescent="0.4">
      <c r="B34" s="4"/>
      <c r="C34" s="4"/>
    </row>
    <row r="35" spans="2:3" x14ac:dyDescent="0.4">
      <c r="C35" s="4"/>
    </row>
    <row r="36" spans="2:3" x14ac:dyDescent="0.4">
      <c r="B36" s="4"/>
      <c r="C36" s="4"/>
    </row>
    <row r="37" spans="2:3" x14ac:dyDescent="0.4">
      <c r="C37" s="4"/>
    </row>
    <row r="38" spans="2:3" x14ac:dyDescent="0.4">
      <c r="B38" s="4"/>
      <c r="C38" s="4"/>
    </row>
    <row r="39" spans="2:3" x14ac:dyDescent="0.4">
      <c r="C39" s="4"/>
    </row>
    <row r="40" spans="2:3" x14ac:dyDescent="0.4">
      <c r="B40" s="4"/>
      <c r="C40" s="4"/>
    </row>
    <row r="41" spans="2:3" x14ac:dyDescent="0.4">
      <c r="C41" s="4"/>
    </row>
    <row r="42" spans="2:3" x14ac:dyDescent="0.4">
      <c r="B42" s="4"/>
      <c r="C42" s="4"/>
    </row>
    <row r="43" spans="2:3" x14ac:dyDescent="0.4">
      <c r="C43" s="4"/>
    </row>
    <row r="44" spans="2:3" x14ac:dyDescent="0.4">
      <c r="B44" s="4"/>
      <c r="C44" s="4"/>
    </row>
    <row r="45" spans="2:3" x14ac:dyDescent="0.4">
      <c r="C45" s="4"/>
    </row>
    <row r="46" spans="2:3" x14ac:dyDescent="0.4">
      <c r="B46" s="4"/>
      <c r="C46" s="4"/>
    </row>
    <row r="47" spans="2:3" x14ac:dyDescent="0.4">
      <c r="C47" s="4"/>
    </row>
    <row r="48" spans="2:3" x14ac:dyDescent="0.4">
      <c r="B48" s="4"/>
      <c r="C48" s="4"/>
    </row>
    <row r="49" spans="2:3" x14ac:dyDescent="0.4">
      <c r="C49" s="4"/>
    </row>
    <row r="50" spans="2:3" x14ac:dyDescent="0.4">
      <c r="B50" s="4"/>
      <c r="C50" s="4"/>
    </row>
    <row r="51" spans="2:3" x14ac:dyDescent="0.4">
      <c r="C51" s="4"/>
    </row>
    <row r="52" spans="2:3" x14ac:dyDescent="0.4">
      <c r="B52" s="4"/>
      <c r="C52" s="4"/>
    </row>
    <row r="53" spans="2:3" x14ac:dyDescent="0.4">
      <c r="C53" s="4"/>
    </row>
    <row r="54" spans="2:3" x14ac:dyDescent="0.4">
      <c r="B54" s="4"/>
      <c r="C54" s="4"/>
    </row>
    <row r="55" spans="2:3" x14ac:dyDescent="0.4">
      <c r="C55" s="4"/>
    </row>
    <row r="56" spans="2:3" x14ac:dyDescent="0.4">
      <c r="B56" s="4"/>
      <c r="C56" s="4"/>
    </row>
    <row r="57" spans="2:3" x14ac:dyDescent="0.4">
      <c r="C57" s="4"/>
    </row>
    <row r="58" spans="2:3" x14ac:dyDescent="0.4">
      <c r="B58" s="4"/>
      <c r="C58" s="4"/>
    </row>
    <row r="59" spans="2:3" x14ac:dyDescent="0.4">
      <c r="C59" s="4"/>
    </row>
  </sheetData>
  <phoneticPr fontId="1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2E889-A52F-45DF-955D-355086A0175D}">
  <sheetPr codeName="Sheet4"/>
  <dimension ref="A2:Q63"/>
  <sheetViews>
    <sheetView workbookViewId="0">
      <selection activeCell="T10" sqref="T10"/>
    </sheetView>
  </sheetViews>
  <sheetFormatPr defaultRowHeight="18.75" x14ac:dyDescent="0.4"/>
  <sheetData>
    <row r="2" spans="1:17" ht="19.5" thickBot="1" x14ac:dyDescent="0.45">
      <c r="A2" t="s">
        <v>27</v>
      </c>
      <c r="P2" t="s">
        <v>28</v>
      </c>
    </row>
    <row r="3" spans="1:17" ht="21" thickBot="1" x14ac:dyDescent="0.45">
      <c r="A3">
        <v>1</v>
      </c>
      <c r="B3">
        <f>MOD(A3*22,61)</f>
        <v>22</v>
      </c>
      <c r="M3" t="s">
        <v>30</v>
      </c>
      <c r="N3" s="5">
        <v>30</v>
      </c>
      <c r="P3" t="s">
        <v>6</v>
      </c>
      <c r="Q3" t="s">
        <v>29</v>
      </c>
    </row>
    <row r="4" spans="1:17" x14ac:dyDescent="0.4">
      <c r="A4">
        <v>2</v>
      </c>
      <c r="B4">
        <f t="shared" ref="B4:B27" si="0">MOD(A4*22,61)</f>
        <v>44</v>
      </c>
      <c r="M4">
        <v>1</v>
      </c>
      <c r="N4">
        <f t="shared" ref="N4:N28" si="1">MOD(M4*$N$3,61)</f>
        <v>30</v>
      </c>
      <c r="P4">
        <v>1</v>
      </c>
      <c r="Q4">
        <v>1</v>
      </c>
    </row>
    <row r="5" spans="1:17" x14ac:dyDescent="0.4">
      <c r="A5">
        <v>3</v>
      </c>
      <c r="B5">
        <f t="shared" si="0"/>
        <v>5</v>
      </c>
      <c r="M5">
        <v>2</v>
      </c>
      <c r="N5">
        <f t="shared" si="1"/>
        <v>60</v>
      </c>
      <c r="P5">
        <v>2</v>
      </c>
      <c r="Q5">
        <v>31</v>
      </c>
    </row>
    <row r="6" spans="1:17" x14ac:dyDescent="0.4">
      <c r="A6">
        <v>4</v>
      </c>
      <c r="B6">
        <f t="shared" si="0"/>
        <v>27</v>
      </c>
      <c r="M6">
        <v>3</v>
      </c>
      <c r="N6">
        <f t="shared" si="1"/>
        <v>29</v>
      </c>
      <c r="P6">
        <v>3</v>
      </c>
      <c r="Q6">
        <v>41</v>
      </c>
    </row>
    <row r="7" spans="1:17" x14ac:dyDescent="0.4">
      <c r="A7">
        <v>5</v>
      </c>
      <c r="B7">
        <f t="shared" si="0"/>
        <v>49</v>
      </c>
      <c r="M7">
        <v>4</v>
      </c>
      <c r="N7">
        <f t="shared" si="1"/>
        <v>59</v>
      </c>
      <c r="P7">
        <v>4</v>
      </c>
      <c r="Q7">
        <v>46</v>
      </c>
    </row>
    <row r="8" spans="1:17" x14ac:dyDescent="0.4">
      <c r="A8">
        <v>6</v>
      </c>
      <c r="B8">
        <f t="shared" si="0"/>
        <v>10</v>
      </c>
      <c r="M8">
        <v>5</v>
      </c>
      <c r="N8">
        <f t="shared" si="1"/>
        <v>28</v>
      </c>
      <c r="P8">
        <v>5</v>
      </c>
      <c r="Q8">
        <v>49</v>
      </c>
    </row>
    <row r="9" spans="1:17" x14ac:dyDescent="0.4">
      <c r="A9">
        <v>7</v>
      </c>
      <c r="B9">
        <f t="shared" si="0"/>
        <v>32</v>
      </c>
      <c r="M9">
        <v>6</v>
      </c>
      <c r="N9">
        <f t="shared" si="1"/>
        <v>58</v>
      </c>
      <c r="P9">
        <v>6</v>
      </c>
      <c r="Q9">
        <v>51</v>
      </c>
    </row>
    <row r="10" spans="1:17" x14ac:dyDescent="0.4">
      <c r="A10">
        <v>8</v>
      </c>
      <c r="B10">
        <f t="shared" si="0"/>
        <v>54</v>
      </c>
      <c r="M10">
        <v>7</v>
      </c>
      <c r="N10">
        <f t="shared" si="1"/>
        <v>27</v>
      </c>
      <c r="P10">
        <v>7</v>
      </c>
      <c r="Q10">
        <v>35</v>
      </c>
    </row>
    <row r="11" spans="1:17" x14ac:dyDescent="0.4">
      <c r="A11">
        <v>9</v>
      </c>
      <c r="B11">
        <f t="shared" si="0"/>
        <v>15</v>
      </c>
      <c r="M11">
        <v>8</v>
      </c>
      <c r="N11">
        <f t="shared" si="1"/>
        <v>57</v>
      </c>
      <c r="P11">
        <v>8</v>
      </c>
      <c r="Q11">
        <v>23</v>
      </c>
    </row>
    <row r="12" spans="1:17" x14ac:dyDescent="0.4">
      <c r="A12">
        <v>10</v>
      </c>
      <c r="B12">
        <f t="shared" si="0"/>
        <v>37</v>
      </c>
      <c r="M12">
        <v>9</v>
      </c>
      <c r="N12">
        <f t="shared" si="1"/>
        <v>26</v>
      </c>
      <c r="P12">
        <v>9</v>
      </c>
      <c r="Q12">
        <v>34</v>
      </c>
    </row>
    <row r="13" spans="1:17" x14ac:dyDescent="0.4">
      <c r="A13">
        <v>11</v>
      </c>
      <c r="B13">
        <f t="shared" si="0"/>
        <v>59</v>
      </c>
      <c r="M13">
        <v>10</v>
      </c>
      <c r="N13">
        <f t="shared" si="1"/>
        <v>56</v>
      </c>
      <c r="P13">
        <v>10</v>
      </c>
      <c r="Q13">
        <v>55</v>
      </c>
    </row>
    <row r="14" spans="1:17" x14ac:dyDescent="0.4">
      <c r="A14">
        <v>12</v>
      </c>
      <c r="B14">
        <f t="shared" si="0"/>
        <v>20</v>
      </c>
      <c r="M14">
        <v>11</v>
      </c>
      <c r="N14">
        <f t="shared" si="1"/>
        <v>25</v>
      </c>
      <c r="P14">
        <v>11</v>
      </c>
      <c r="Q14">
        <v>50</v>
      </c>
    </row>
    <row r="15" spans="1:17" x14ac:dyDescent="0.4">
      <c r="A15">
        <v>13</v>
      </c>
      <c r="B15">
        <f t="shared" si="0"/>
        <v>42</v>
      </c>
      <c r="M15">
        <v>12</v>
      </c>
      <c r="N15">
        <f t="shared" si="1"/>
        <v>55</v>
      </c>
      <c r="P15">
        <v>12</v>
      </c>
      <c r="Q15">
        <v>56</v>
      </c>
    </row>
    <row r="16" spans="1:17" x14ac:dyDescent="0.4">
      <c r="A16">
        <v>14</v>
      </c>
      <c r="B16">
        <f t="shared" si="0"/>
        <v>3</v>
      </c>
      <c r="M16">
        <v>13</v>
      </c>
      <c r="N16">
        <f t="shared" si="1"/>
        <v>24</v>
      </c>
      <c r="P16">
        <v>13</v>
      </c>
      <c r="Q16">
        <v>47</v>
      </c>
    </row>
    <row r="17" spans="1:17" x14ac:dyDescent="0.4">
      <c r="A17">
        <v>15</v>
      </c>
      <c r="B17">
        <f t="shared" si="0"/>
        <v>25</v>
      </c>
      <c r="M17">
        <v>14</v>
      </c>
      <c r="N17">
        <f t="shared" si="1"/>
        <v>54</v>
      </c>
      <c r="P17">
        <v>14</v>
      </c>
      <c r="Q17">
        <v>48</v>
      </c>
    </row>
    <row r="18" spans="1:17" x14ac:dyDescent="0.4">
      <c r="A18">
        <v>16</v>
      </c>
      <c r="B18">
        <f t="shared" si="0"/>
        <v>47</v>
      </c>
      <c r="M18">
        <v>15</v>
      </c>
      <c r="N18">
        <f t="shared" si="1"/>
        <v>23</v>
      </c>
      <c r="P18">
        <v>15</v>
      </c>
      <c r="Q18">
        <v>57</v>
      </c>
    </row>
    <row r="19" spans="1:17" x14ac:dyDescent="0.4">
      <c r="A19">
        <v>17</v>
      </c>
      <c r="B19">
        <f t="shared" si="0"/>
        <v>8</v>
      </c>
      <c r="M19">
        <v>16</v>
      </c>
      <c r="N19">
        <f t="shared" si="1"/>
        <v>53</v>
      </c>
      <c r="P19">
        <v>16</v>
      </c>
      <c r="Q19">
        <v>42</v>
      </c>
    </row>
    <row r="20" spans="1:17" x14ac:dyDescent="0.4">
      <c r="A20">
        <v>18</v>
      </c>
      <c r="B20">
        <f t="shared" si="0"/>
        <v>30</v>
      </c>
      <c r="M20">
        <v>17</v>
      </c>
      <c r="N20">
        <f t="shared" si="1"/>
        <v>22</v>
      </c>
      <c r="P20">
        <v>17</v>
      </c>
      <c r="Q20">
        <v>18</v>
      </c>
    </row>
    <row r="21" spans="1:17" x14ac:dyDescent="0.4">
      <c r="A21">
        <v>19</v>
      </c>
      <c r="B21">
        <f t="shared" si="0"/>
        <v>52</v>
      </c>
      <c r="M21">
        <v>18</v>
      </c>
      <c r="N21">
        <f t="shared" si="1"/>
        <v>52</v>
      </c>
      <c r="P21">
        <v>18</v>
      </c>
      <c r="Q21">
        <v>17</v>
      </c>
    </row>
    <row r="22" spans="1:17" x14ac:dyDescent="0.4">
      <c r="A22">
        <v>20</v>
      </c>
      <c r="B22">
        <f t="shared" si="0"/>
        <v>13</v>
      </c>
      <c r="M22">
        <v>19</v>
      </c>
      <c r="N22">
        <f t="shared" si="1"/>
        <v>21</v>
      </c>
      <c r="P22">
        <v>19</v>
      </c>
      <c r="Q22">
        <v>45</v>
      </c>
    </row>
    <row r="23" spans="1:17" x14ac:dyDescent="0.4">
      <c r="A23">
        <v>21</v>
      </c>
      <c r="B23">
        <f t="shared" si="0"/>
        <v>35</v>
      </c>
      <c r="M23">
        <v>20</v>
      </c>
      <c r="N23">
        <f t="shared" si="1"/>
        <v>51</v>
      </c>
      <c r="P23">
        <v>20</v>
      </c>
      <c r="Q23">
        <v>58</v>
      </c>
    </row>
    <row r="24" spans="1:17" x14ac:dyDescent="0.4">
      <c r="A24">
        <v>22</v>
      </c>
      <c r="B24">
        <f t="shared" si="0"/>
        <v>57</v>
      </c>
      <c r="M24">
        <v>21</v>
      </c>
      <c r="N24">
        <f t="shared" si="1"/>
        <v>20</v>
      </c>
      <c r="P24">
        <v>21</v>
      </c>
      <c r="Q24">
        <v>32</v>
      </c>
    </row>
    <row r="25" spans="1:17" x14ac:dyDescent="0.4">
      <c r="A25">
        <v>23</v>
      </c>
      <c r="B25">
        <f t="shared" si="0"/>
        <v>18</v>
      </c>
      <c r="M25">
        <v>22</v>
      </c>
      <c r="N25">
        <f t="shared" si="1"/>
        <v>50</v>
      </c>
      <c r="P25">
        <v>22</v>
      </c>
      <c r="Q25">
        <v>25</v>
      </c>
    </row>
    <row r="26" spans="1:17" x14ac:dyDescent="0.4">
      <c r="A26">
        <v>24</v>
      </c>
      <c r="B26">
        <f t="shared" si="0"/>
        <v>40</v>
      </c>
      <c r="M26">
        <v>23</v>
      </c>
      <c r="N26">
        <f t="shared" si="1"/>
        <v>19</v>
      </c>
      <c r="P26">
        <v>23</v>
      </c>
      <c r="Q26">
        <v>8</v>
      </c>
    </row>
    <row r="27" spans="1:17" x14ac:dyDescent="0.4">
      <c r="A27" s="14">
        <v>25</v>
      </c>
      <c r="B27" s="14">
        <f t="shared" si="0"/>
        <v>1</v>
      </c>
      <c r="M27">
        <v>24</v>
      </c>
      <c r="N27">
        <f t="shared" si="1"/>
        <v>49</v>
      </c>
      <c r="P27">
        <v>24</v>
      </c>
      <c r="Q27">
        <v>28</v>
      </c>
    </row>
    <row r="28" spans="1:17" x14ac:dyDescent="0.4">
      <c r="A28">
        <v>26</v>
      </c>
      <c r="B28" s="4">
        <f t="shared" ref="B28:B62" si="2">MOD(A28*22,61)</f>
        <v>23</v>
      </c>
      <c r="M28">
        <v>25</v>
      </c>
      <c r="N28">
        <f t="shared" si="1"/>
        <v>18</v>
      </c>
      <c r="P28">
        <v>25</v>
      </c>
      <c r="Q28">
        <v>22</v>
      </c>
    </row>
    <row r="29" spans="1:17" x14ac:dyDescent="0.4">
      <c r="A29" s="4">
        <v>27</v>
      </c>
      <c r="B29" s="4">
        <f t="shared" si="2"/>
        <v>45</v>
      </c>
      <c r="M29">
        <v>26</v>
      </c>
      <c r="N29">
        <f t="shared" ref="N29:N63" si="3">MOD(M29*$N$3,61)</f>
        <v>48</v>
      </c>
      <c r="P29">
        <v>26</v>
      </c>
      <c r="Q29">
        <v>54</v>
      </c>
    </row>
    <row r="30" spans="1:17" x14ac:dyDescent="0.4">
      <c r="A30">
        <v>28</v>
      </c>
      <c r="B30" s="4">
        <f t="shared" si="2"/>
        <v>6</v>
      </c>
      <c r="M30">
        <v>27</v>
      </c>
      <c r="N30">
        <f t="shared" si="3"/>
        <v>17</v>
      </c>
      <c r="P30">
        <v>27</v>
      </c>
      <c r="Q30">
        <v>52</v>
      </c>
    </row>
    <row r="31" spans="1:17" x14ac:dyDescent="0.4">
      <c r="A31" s="4">
        <v>29</v>
      </c>
      <c r="B31" s="4">
        <f t="shared" si="2"/>
        <v>28</v>
      </c>
      <c r="M31">
        <v>28</v>
      </c>
      <c r="N31">
        <f t="shared" si="3"/>
        <v>47</v>
      </c>
      <c r="P31">
        <v>28</v>
      </c>
      <c r="Q31">
        <v>24</v>
      </c>
    </row>
    <row r="32" spans="1:17" x14ac:dyDescent="0.4">
      <c r="A32">
        <v>30</v>
      </c>
      <c r="B32" s="4">
        <f t="shared" si="2"/>
        <v>50</v>
      </c>
      <c r="M32">
        <v>29</v>
      </c>
      <c r="N32">
        <f t="shared" si="3"/>
        <v>16</v>
      </c>
      <c r="P32">
        <v>29</v>
      </c>
      <c r="Q32">
        <v>40</v>
      </c>
    </row>
    <row r="33" spans="1:17" x14ac:dyDescent="0.4">
      <c r="A33" s="4">
        <v>31</v>
      </c>
      <c r="B33" s="4">
        <f t="shared" si="2"/>
        <v>11</v>
      </c>
      <c r="M33">
        <v>30</v>
      </c>
      <c r="N33">
        <f t="shared" si="3"/>
        <v>46</v>
      </c>
      <c r="P33">
        <v>30</v>
      </c>
      <c r="Q33">
        <v>59</v>
      </c>
    </row>
    <row r="34" spans="1:17" x14ac:dyDescent="0.4">
      <c r="A34">
        <v>32</v>
      </c>
      <c r="B34" s="4">
        <f t="shared" si="2"/>
        <v>33</v>
      </c>
      <c r="M34">
        <v>31</v>
      </c>
      <c r="N34">
        <f t="shared" si="3"/>
        <v>15</v>
      </c>
      <c r="P34">
        <v>31</v>
      </c>
      <c r="Q34">
        <v>2</v>
      </c>
    </row>
    <row r="35" spans="1:17" x14ac:dyDescent="0.4">
      <c r="A35" s="4">
        <v>33</v>
      </c>
      <c r="B35" s="4">
        <f t="shared" si="2"/>
        <v>55</v>
      </c>
      <c r="M35">
        <v>32</v>
      </c>
      <c r="N35">
        <f t="shared" si="3"/>
        <v>45</v>
      </c>
      <c r="P35">
        <v>32</v>
      </c>
      <c r="Q35">
        <v>21</v>
      </c>
    </row>
    <row r="36" spans="1:17" x14ac:dyDescent="0.4">
      <c r="A36">
        <v>34</v>
      </c>
      <c r="B36" s="4">
        <f t="shared" si="2"/>
        <v>16</v>
      </c>
      <c r="M36">
        <v>33</v>
      </c>
      <c r="N36">
        <f t="shared" si="3"/>
        <v>14</v>
      </c>
      <c r="P36">
        <v>33</v>
      </c>
      <c r="Q36">
        <v>37</v>
      </c>
    </row>
    <row r="37" spans="1:17" x14ac:dyDescent="0.4">
      <c r="A37" s="4">
        <v>35</v>
      </c>
      <c r="B37" s="4">
        <f t="shared" si="2"/>
        <v>38</v>
      </c>
      <c r="M37">
        <v>34</v>
      </c>
      <c r="N37">
        <f t="shared" si="3"/>
        <v>44</v>
      </c>
      <c r="P37">
        <v>34</v>
      </c>
      <c r="Q37">
        <v>9</v>
      </c>
    </row>
    <row r="38" spans="1:17" x14ac:dyDescent="0.4">
      <c r="A38">
        <v>36</v>
      </c>
      <c r="B38" s="4">
        <f t="shared" si="2"/>
        <v>60</v>
      </c>
      <c r="M38">
        <v>35</v>
      </c>
      <c r="N38">
        <f t="shared" si="3"/>
        <v>13</v>
      </c>
      <c r="P38">
        <v>35</v>
      </c>
      <c r="Q38">
        <v>7</v>
      </c>
    </row>
    <row r="39" spans="1:17" x14ac:dyDescent="0.4">
      <c r="A39" s="4">
        <v>37</v>
      </c>
      <c r="B39" s="4">
        <f t="shared" si="2"/>
        <v>21</v>
      </c>
      <c r="M39">
        <v>36</v>
      </c>
      <c r="N39">
        <f t="shared" si="3"/>
        <v>43</v>
      </c>
      <c r="P39">
        <v>36</v>
      </c>
      <c r="Q39">
        <v>39</v>
      </c>
    </row>
    <row r="40" spans="1:17" x14ac:dyDescent="0.4">
      <c r="A40">
        <v>38</v>
      </c>
      <c r="B40" s="4">
        <f t="shared" si="2"/>
        <v>43</v>
      </c>
      <c r="M40">
        <v>37</v>
      </c>
      <c r="N40">
        <f t="shared" si="3"/>
        <v>12</v>
      </c>
      <c r="P40">
        <v>37</v>
      </c>
      <c r="Q40">
        <v>33</v>
      </c>
    </row>
    <row r="41" spans="1:17" x14ac:dyDescent="0.4">
      <c r="A41" s="4">
        <v>39</v>
      </c>
      <c r="B41" s="4">
        <f t="shared" si="2"/>
        <v>4</v>
      </c>
      <c r="M41">
        <v>38</v>
      </c>
      <c r="N41">
        <f t="shared" si="3"/>
        <v>42</v>
      </c>
      <c r="P41">
        <v>38</v>
      </c>
      <c r="Q41">
        <v>53</v>
      </c>
    </row>
    <row r="42" spans="1:17" x14ac:dyDescent="0.4">
      <c r="A42">
        <v>40</v>
      </c>
      <c r="B42" s="4">
        <f t="shared" si="2"/>
        <v>26</v>
      </c>
      <c r="M42">
        <v>39</v>
      </c>
      <c r="N42">
        <f t="shared" si="3"/>
        <v>11</v>
      </c>
      <c r="P42">
        <v>39</v>
      </c>
      <c r="Q42">
        <v>36</v>
      </c>
    </row>
    <row r="43" spans="1:17" x14ac:dyDescent="0.4">
      <c r="A43" s="4">
        <v>41</v>
      </c>
      <c r="B43" s="4">
        <f t="shared" si="2"/>
        <v>48</v>
      </c>
      <c r="M43">
        <v>40</v>
      </c>
      <c r="N43">
        <f t="shared" si="3"/>
        <v>41</v>
      </c>
      <c r="P43">
        <v>40</v>
      </c>
      <c r="Q43">
        <v>29</v>
      </c>
    </row>
    <row r="44" spans="1:17" x14ac:dyDescent="0.4">
      <c r="A44">
        <v>42</v>
      </c>
      <c r="B44" s="4">
        <f t="shared" si="2"/>
        <v>9</v>
      </c>
      <c r="M44">
        <v>41</v>
      </c>
      <c r="N44">
        <f t="shared" si="3"/>
        <v>10</v>
      </c>
      <c r="P44">
        <v>41</v>
      </c>
      <c r="Q44">
        <v>3</v>
      </c>
    </row>
    <row r="45" spans="1:17" x14ac:dyDescent="0.4">
      <c r="A45" s="4">
        <v>43</v>
      </c>
      <c r="B45" s="4">
        <f t="shared" si="2"/>
        <v>31</v>
      </c>
      <c r="M45">
        <v>42</v>
      </c>
      <c r="N45">
        <f t="shared" si="3"/>
        <v>40</v>
      </c>
      <c r="P45">
        <v>42</v>
      </c>
      <c r="Q45">
        <v>16</v>
      </c>
    </row>
    <row r="46" spans="1:17" x14ac:dyDescent="0.4">
      <c r="A46">
        <v>44</v>
      </c>
      <c r="B46" s="4">
        <f t="shared" si="2"/>
        <v>53</v>
      </c>
      <c r="M46">
        <v>43</v>
      </c>
      <c r="N46">
        <f t="shared" si="3"/>
        <v>9</v>
      </c>
      <c r="P46">
        <v>43</v>
      </c>
      <c r="Q46">
        <v>44</v>
      </c>
    </row>
    <row r="47" spans="1:17" x14ac:dyDescent="0.4">
      <c r="A47" s="4">
        <v>45</v>
      </c>
      <c r="B47" s="4">
        <f t="shared" si="2"/>
        <v>14</v>
      </c>
      <c r="M47">
        <v>44</v>
      </c>
      <c r="N47">
        <f t="shared" si="3"/>
        <v>39</v>
      </c>
      <c r="P47">
        <v>44</v>
      </c>
      <c r="Q47">
        <v>43</v>
      </c>
    </row>
    <row r="48" spans="1:17" x14ac:dyDescent="0.4">
      <c r="A48">
        <v>46</v>
      </c>
      <c r="B48" s="4">
        <f t="shared" si="2"/>
        <v>36</v>
      </c>
      <c r="M48">
        <v>45</v>
      </c>
      <c r="N48">
        <f t="shared" si="3"/>
        <v>8</v>
      </c>
      <c r="P48">
        <v>45</v>
      </c>
      <c r="Q48">
        <v>19</v>
      </c>
    </row>
    <row r="49" spans="1:17" x14ac:dyDescent="0.4">
      <c r="A49" s="4">
        <v>47</v>
      </c>
      <c r="B49" s="4">
        <f t="shared" si="2"/>
        <v>58</v>
      </c>
      <c r="M49">
        <v>46</v>
      </c>
      <c r="N49">
        <f t="shared" si="3"/>
        <v>38</v>
      </c>
      <c r="P49">
        <v>46</v>
      </c>
      <c r="Q49">
        <v>4</v>
      </c>
    </row>
    <row r="50" spans="1:17" x14ac:dyDescent="0.4">
      <c r="A50">
        <v>48</v>
      </c>
      <c r="B50" s="4">
        <f t="shared" si="2"/>
        <v>19</v>
      </c>
      <c r="M50">
        <v>47</v>
      </c>
      <c r="N50">
        <f t="shared" si="3"/>
        <v>7</v>
      </c>
      <c r="P50">
        <v>47</v>
      </c>
      <c r="Q50">
        <v>13</v>
      </c>
    </row>
    <row r="51" spans="1:17" x14ac:dyDescent="0.4">
      <c r="A51" s="4">
        <v>49</v>
      </c>
      <c r="B51" s="4">
        <f t="shared" si="2"/>
        <v>41</v>
      </c>
      <c r="M51">
        <v>48</v>
      </c>
      <c r="N51">
        <f t="shared" si="3"/>
        <v>37</v>
      </c>
      <c r="P51">
        <v>48</v>
      </c>
      <c r="Q51">
        <v>14</v>
      </c>
    </row>
    <row r="52" spans="1:17" x14ac:dyDescent="0.4">
      <c r="A52">
        <v>50</v>
      </c>
      <c r="B52" s="4">
        <f t="shared" si="2"/>
        <v>2</v>
      </c>
      <c r="M52">
        <v>49</v>
      </c>
      <c r="N52">
        <f t="shared" si="3"/>
        <v>6</v>
      </c>
      <c r="P52">
        <v>49</v>
      </c>
      <c r="Q52">
        <v>5</v>
      </c>
    </row>
    <row r="53" spans="1:17" x14ac:dyDescent="0.4">
      <c r="A53" s="4">
        <v>51</v>
      </c>
      <c r="B53" s="4">
        <f t="shared" si="2"/>
        <v>24</v>
      </c>
      <c r="M53">
        <v>50</v>
      </c>
      <c r="N53">
        <f t="shared" si="3"/>
        <v>36</v>
      </c>
      <c r="P53">
        <v>50</v>
      </c>
      <c r="Q53">
        <v>11</v>
      </c>
    </row>
    <row r="54" spans="1:17" x14ac:dyDescent="0.4">
      <c r="A54">
        <v>52</v>
      </c>
      <c r="B54" s="4">
        <f t="shared" si="2"/>
        <v>46</v>
      </c>
      <c r="M54">
        <v>51</v>
      </c>
      <c r="N54">
        <f t="shared" si="3"/>
        <v>5</v>
      </c>
      <c r="P54">
        <v>51</v>
      </c>
      <c r="Q54">
        <v>6</v>
      </c>
    </row>
    <row r="55" spans="1:17" x14ac:dyDescent="0.4">
      <c r="A55" s="4">
        <v>53</v>
      </c>
      <c r="B55" s="4">
        <f t="shared" si="2"/>
        <v>7</v>
      </c>
      <c r="M55">
        <v>52</v>
      </c>
      <c r="N55">
        <f t="shared" si="3"/>
        <v>35</v>
      </c>
      <c r="P55">
        <v>52</v>
      </c>
      <c r="Q55">
        <v>27</v>
      </c>
    </row>
    <row r="56" spans="1:17" x14ac:dyDescent="0.4">
      <c r="A56">
        <v>54</v>
      </c>
      <c r="B56" s="4">
        <f t="shared" si="2"/>
        <v>29</v>
      </c>
      <c r="M56">
        <v>53</v>
      </c>
      <c r="N56">
        <f t="shared" si="3"/>
        <v>4</v>
      </c>
      <c r="P56">
        <v>53</v>
      </c>
      <c r="Q56">
        <v>38</v>
      </c>
    </row>
    <row r="57" spans="1:17" x14ac:dyDescent="0.4">
      <c r="A57" s="4">
        <v>55</v>
      </c>
      <c r="B57" s="4">
        <f t="shared" si="2"/>
        <v>51</v>
      </c>
      <c r="M57">
        <v>54</v>
      </c>
      <c r="N57">
        <f t="shared" si="3"/>
        <v>34</v>
      </c>
      <c r="P57">
        <v>54</v>
      </c>
      <c r="Q57">
        <v>26</v>
      </c>
    </row>
    <row r="58" spans="1:17" x14ac:dyDescent="0.4">
      <c r="A58">
        <v>56</v>
      </c>
      <c r="B58" s="4">
        <f t="shared" si="2"/>
        <v>12</v>
      </c>
      <c r="M58">
        <v>55</v>
      </c>
      <c r="N58">
        <f t="shared" si="3"/>
        <v>3</v>
      </c>
      <c r="P58">
        <v>55</v>
      </c>
      <c r="Q58">
        <v>10</v>
      </c>
    </row>
    <row r="59" spans="1:17" x14ac:dyDescent="0.4">
      <c r="A59" s="4">
        <v>57</v>
      </c>
      <c r="B59" s="4">
        <f t="shared" si="2"/>
        <v>34</v>
      </c>
      <c r="M59">
        <v>56</v>
      </c>
      <c r="N59">
        <f t="shared" si="3"/>
        <v>33</v>
      </c>
      <c r="P59">
        <v>56</v>
      </c>
      <c r="Q59">
        <v>12</v>
      </c>
    </row>
    <row r="60" spans="1:17" x14ac:dyDescent="0.4">
      <c r="A60">
        <v>58</v>
      </c>
      <c r="B60" s="4">
        <f t="shared" si="2"/>
        <v>56</v>
      </c>
      <c r="M60">
        <v>57</v>
      </c>
      <c r="N60">
        <f t="shared" si="3"/>
        <v>2</v>
      </c>
      <c r="P60">
        <v>57</v>
      </c>
      <c r="Q60">
        <v>15</v>
      </c>
    </row>
    <row r="61" spans="1:17" x14ac:dyDescent="0.4">
      <c r="A61" s="4">
        <v>59</v>
      </c>
      <c r="B61" s="4">
        <f t="shared" si="2"/>
        <v>17</v>
      </c>
      <c r="M61">
        <v>58</v>
      </c>
      <c r="N61">
        <f t="shared" si="3"/>
        <v>32</v>
      </c>
      <c r="P61">
        <v>58</v>
      </c>
      <c r="Q61">
        <v>20</v>
      </c>
    </row>
    <row r="62" spans="1:17" x14ac:dyDescent="0.4">
      <c r="A62">
        <v>60</v>
      </c>
      <c r="B62" s="4">
        <f t="shared" si="2"/>
        <v>39</v>
      </c>
      <c r="M62">
        <v>59</v>
      </c>
      <c r="N62">
        <f t="shared" si="3"/>
        <v>1</v>
      </c>
      <c r="P62">
        <v>59</v>
      </c>
      <c r="Q62">
        <v>30</v>
      </c>
    </row>
    <row r="63" spans="1:17" x14ac:dyDescent="0.4">
      <c r="M63">
        <v>60</v>
      </c>
      <c r="N63">
        <f t="shared" si="3"/>
        <v>31</v>
      </c>
      <c r="P63">
        <v>60</v>
      </c>
      <c r="Q63">
        <v>1</v>
      </c>
    </row>
  </sheetData>
  <phoneticPr fontId="1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4356D-64FE-45A3-B900-354962A328B8}">
  <sheetPr codeName="Sheet3"/>
  <dimension ref="B1:P132"/>
  <sheetViews>
    <sheetView topLeftCell="A70" workbookViewId="0">
      <selection activeCell="B24" sqref="B24"/>
    </sheetView>
  </sheetViews>
  <sheetFormatPr defaultRowHeight="18.75" x14ac:dyDescent="0.4"/>
  <cols>
    <col min="4" max="4" width="9.375" bestFit="1" customWidth="1"/>
  </cols>
  <sheetData>
    <row r="1" spans="2:16" ht="58.5" customHeight="1" x14ac:dyDescent="0.4">
      <c r="B1" s="11"/>
      <c r="M1" s="2" t="s">
        <v>12</v>
      </c>
      <c r="P1" s="12" t="s">
        <v>121</v>
      </c>
    </row>
    <row r="2" spans="2:16" x14ac:dyDescent="0.4">
      <c r="C2" t="s">
        <v>6</v>
      </c>
      <c r="D2" t="s">
        <v>7</v>
      </c>
      <c r="E2" t="s">
        <v>8</v>
      </c>
      <c r="F2" t="s">
        <v>122</v>
      </c>
      <c r="G2" t="s">
        <v>14</v>
      </c>
      <c r="I2" t="s">
        <v>7</v>
      </c>
      <c r="J2" t="s">
        <v>10</v>
      </c>
    </row>
    <row r="3" spans="2:16" x14ac:dyDescent="0.4">
      <c r="C3">
        <v>0</v>
      </c>
      <c r="D3">
        <f>_xlfn.XLOOKUP(F3,J$3:J$63,J$3:J$63,"NON")</f>
        <v>0</v>
      </c>
      <c r="E3">
        <f>C3^3-C3</f>
        <v>0</v>
      </c>
      <c r="F3">
        <f>MOD(E3,61)</f>
        <v>0</v>
      </c>
      <c r="G3">
        <v>0</v>
      </c>
      <c r="I3">
        <v>0</v>
      </c>
      <c r="J3">
        <f>MOD(I3*I3,61)</f>
        <v>0</v>
      </c>
    </row>
    <row r="4" spans="2:16" x14ac:dyDescent="0.4">
      <c r="C4">
        <v>1</v>
      </c>
      <c r="D4">
        <f>_xlfn.XLOOKUP(F4,J$3:J$63,J$3:J$63,"NON")</f>
        <v>0</v>
      </c>
      <c r="E4">
        <f t="shared" ref="E4:E63" si="0">C4^3-C4</f>
        <v>0</v>
      </c>
      <c r="F4">
        <f t="shared" ref="F4:F63" si="1">MOD(E4,61)</f>
        <v>0</v>
      </c>
      <c r="G4">
        <v>0</v>
      </c>
      <c r="I4">
        <v>1</v>
      </c>
      <c r="J4">
        <f>MOD(I4*I4,61)</f>
        <v>1</v>
      </c>
    </row>
    <row r="5" spans="2:16" x14ac:dyDescent="0.4">
      <c r="C5">
        <v>2</v>
      </c>
      <c r="D5" t="str">
        <f>_xlfn.XLOOKUP(F5,J$3:J$63,J$3:J$63,"NON")</f>
        <v>NON</v>
      </c>
      <c r="E5">
        <f>C5^3-C5</f>
        <v>6</v>
      </c>
      <c r="F5">
        <f t="shared" si="1"/>
        <v>6</v>
      </c>
      <c r="I5">
        <v>2</v>
      </c>
      <c r="J5">
        <f t="shared" ref="J5:J63" si="2">MOD(I5*I5,61)</f>
        <v>4</v>
      </c>
    </row>
    <row r="6" spans="2:16" x14ac:dyDescent="0.4">
      <c r="C6">
        <v>3</v>
      </c>
      <c r="D6" t="str">
        <f>_xlfn.XLOOKUP(F6,J$3:J$63,J$3:J$63,"NON")</f>
        <v>NON</v>
      </c>
      <c r="E6">
        <f t="shared" si="0"/>
        <v>24</v>
      </c>
      <c r="F6">
        <f>MOD(E6,61)</f>
        <v>24</v>
      </c>
      <c r="I6">
        <v>3</v>
      </c>
      <c r="J6">
        <f t="shared" si="2"/>
        <v>9</v>
      </c>
    </row>
    <row r="7" spans="2:16" x14ac:dyDescent="0.4">
      <c r="B7" s="13"/>
      <c r="C7">
        <v>4</v>
      </c>
      <c r="D7">
        <f>_xlfn.SINGLE(_xlfn.XLOOKUP(F7,J$3:J$63,I$3:I$63,"NON"))</f>
        <v>11</v>
      </c>
      <c r="E7">
        <f t="shared" si="0"/>
        <v>60</v>
      </c>
      <c r="F7">
        <f t="shared" si="1"/>
        <v>60</v>
      </c>
      <c r="G7">
        <f>61-D7</f>
        <v>50</v>
      </c>
      <c r="I7">
        <v>4</v>
      </c>
      <c r="J7">
        <f t="shared" si="2"/>
        <v>16</v>
      </c>
    </row>
    <row r="8" spans="2:16" x14ac:dyDescent="0.4">
      <c r="C8">
        <v>5</v>
      </c>
      <c r="D8" t="str">
        <f t="shared" ref="D8:D19" si="3">_xlfn.SINGLE(_xlfn.XLOOKUP(F8,J$3:J$63,I$3:I$63,"NON"))</f>
        <v>NON</v>
      </c>
      <c r="E8">
        <f t="shared" si="0"/>
        <v>120</v>
      </c>
      <c r="F8">
        <f t="shared" si="1"/>
        <v>59</v>
      </c>
      <c r="I8">
        <v>5</v>
      </c>
      <c r="J8">
        <f>MOD(I8*I8,61)</f>
        <v>25</v>
      </c>
    </row>
    <row r="9" spans="2:16" x14ac:dyDescent="0.4">
      <c r="C9">
        <v>6</v>
      </c>
      <c r="D9">
        <f t="shared" si="3"/>
        <v>24</v>
      </c>
      <c r="E9">
        <f t="shared" si="0"/>
        <v>210</v>
      </c>
      <c r="F9">
        <f t="shared" si="1"/>
        <v>27</v>
      </c>
      <c r="G9">
        <f>61-D9</f>
        <v>37</v>
      </c>
      <c r="I9">
        <v>6</v>
      </c>
      <c r="J9">
        <f>MOD(I9*I9,61)</f>
        <v>36</v>
      </c>
    </row>
    <row r="10" spans="2:16" x14ac:dyDescent="0.4">
      <c r="C10">
        <v>7</v>
      </c>
      <c r="D10" t="str">
        <f t="shared" si="3"/>
        <v>NON</v>
      </c>
      <c r="E10">
        <f t="shared" si="0"/>
        <v>336</v>
      </c>
      <c r="F10">
        <f t="shared" si="1"/>
        <v>31</v>
      </c>
      <c r="I10">
        <v>7</v>
      </c>
      <c r="J10">
        <f t="shared" si="2"/>
        <v>49</v>
      </c>
    </row>
    <row r="11" spans="2:16" x14ac:dyDescent="0.4">
      <c r="C11">
        <v>8</v>
      </c>
      <c r="D11">
        <f t="shared" si="3"/>
        <v>4</v>
      </c>
      <c r="E11">
        <f t="shared" si="0"/>
        <v>504</v>
      </c>
      <c r="F11">
        <f t="shared" si="1"/>
        <v>16</v>
      </c>
      <c r="G11">
        <f>61-D11</f>
        <v>57</v>
      </c>
      <c r="I11">
        <v>8</v>
      </c>
      <c r="J11">
        <f t="shared" si="2"/>
        <v>3</v>
      </c>
    </row>
    <row r="12" spans="2:16" x14ac:dyDescent="0.4">
      <c r="C12">
        <v>9</v>
      </c>
      <c r="D12">
        <f t="shared" si="3"/>
        <v>7</v>
      </c>
      <c r="E12">
        <f t="shared" si="0"/>
        <v>720</v>
      </c>
      <c r="F12">
        <f t="shared" si="1"/>
        <v>49</v>
      </c>
      <c r="G12">
        <f>61-D12</f>
        <v>54</v>
      </c>
      <c r="I12">
        <v>9</v>
      </c>
      <c r="J12">
        <f t="shared" si="2"/>
        <v>20</v>
      </c>
    </row>
    <row r="13" spans="2:16" x14ac:dyDescent="0.4">
      <c r="C13">
        <v>10</v>
      </c>
      <c r="D13">
        <f t="shared" si="3"/>
        <v>21</v>
      </c>
      <c r="E13">
        <f t="shared" si="0"/>
        <v>990</v>
      </c>
      <c r="F13">
        <f>MOD(E13,61)</f>
        <v>14</v>
      </c>
      <c r="G13">
        <f>61-D13</f>
        <v>40</v>
      </c>
      <c r="I13">
        <v>10</v>
      </c>
      <c r="J13">
        <f t="shared" si="2"/>
        <v>39</v>
      </c>
    </row>
    <row r="14" spans="2:16" x14ac:dyDescent="0.4">
      <c r="C14">
        <v>11</v>
      </c>
      <c r="D14">
        <f t="shared" si="3"/>
        <v>10</v>
      </c>
      <c r="E14">
        <f t="shared" si="0"/>
        <v>1320</v>
      </c>
      <c r="F14">
        <f t="shared" si="1"/>
        <v>39</v>
      </c>
      <c r="G14">
        <f>61-D14</f>
        <v>51</v>
      </c>
      <c r="I14">
        <v>11</v>
      </c>
      <c r="J14">
        <f t="shared" si="2"/>
        <v>60</v>
      </c>
    </row>
    <row r="15" spans="2:16" x14ac:dyDescent="0.4">
      <c r="C15">
        <v>12</v>
      </c>
      <c r="D15" t="str">
        <f t="shared" si="3"/>
        <v>NON</v>
      </c>
      <c r="E15">
        <f t="shared" si="0"/>
        <v>1716</v>
      </c>
      <c r="F15">
        <f t="shared" si="1"/>
        <v>8</v>
      </c>
      <c r="I15">
        <v>12</v>
      </c>
      <c r="J15">
        <f t="shared" si="2"/>
        <v>22</v>
      </c>
    </row>
    <row r="16" spans="2:16" x14ac:dyDescent="0.4">
      <c r="C16">
        <v>13</v>
      </c>
      <c r="D16">
        <f t="shared" si="3"/>
        <v>7</v>
      </c>
      <c r="E16">
        <f t="shared" si="0"/>
        <v>2184</v>
      </c>
      <c r="F16">
        <f t="shared" si="1"/>
        <v>49</v>
      </c>
      <c r="G16">
        <f>61-D16</f>
        <v>54</v>
      </c>
      <c r="I16">
        <v>13</v>
      </c>
      <c r="J16">
        <f t="shared" si="2"/>
        <v>47</v>
      </c>
    </row>
    <row r="17" spans="3:14" x14ac:dyDescent="0.4">
      <c r="C17">
        <v>14</v>
      </c>
      <c r="D17">
        <f t="shared" si="3"/>
        <v>30</v>
      </c>
      <c r="E17">
        <f t="shared" si="0"/>
        <v>2730</v>
      </c>
      <c r="F17">
        <f t="shared" si="1"/>
        <v>46</v>
      </c>
      <c r="G17">
        <f>61-D17</f>
        <v>31</v>
      </c>
      <c r="I17">
        <v>14</v>
      </c>
      <c r="J17">
        <f t="shared" si="2"/>
        <v>13</v>
      </c>
    </row>
    <row r="18" spans="3:14" x14ac:dyDescent="0.4">
      <c r="C18">
        <v>15</v>
      </c>
      <c r="D18">
        <f t="shared" si="3"/>
        <v>26</v>
      </c>
      <c r="E18">
        <f t="shared" si="0"/>
        <v>3360</v>
      </c>
      <c r="F18">
        <f>MOD(E18,61)</f>
        <v>5</v>
      </c>
      <c r="G18">
        <f>61-D18</f>
        <v>35</v>
      </c>
      <c r="I18">
        <v>15</v>
      </c>
      <c r="J18">
        <f t="shared" si="2"/>
        <v>42</v>
      </c>
    </row>
    <row r="19" spans="3:14" x14ac:dyDescent="0.4">
      <c r="C19">
        <v>16</v>
      </c>
      <c r="D19" t="str">
        <f t="shared" si="3"/>
        <v>NON</v>
      </c>
      <c r="E19">
        <f t="shared" si="0"/>
        <v>4080</v>
      </c>
      <c r="F19">
        <f t="shared" si="1"/>
        <v>54</v>
      </c>
      <c r="I19">
        <v>16</v>
      </c>
      <c r="J19">
        <f t="shared" si="2"/>
        <v>12</v>
      </c>
    </row>
    <row r="20" spans="3:14" x14ac:dyDescent="0.4">
      <c r="C20">
        <v>17</v>
      </c>
      <c r="D20">
        <f t="shared" ref="D20:D63" si="4">_xlfn.SINGLE(_xlfn.XLOOKUP(F20,J$3:J$63,I$3:I$63,"NON"))</f>
        <v>4</v>
      </c>
      <c r="E20">
        <f t="shared" si="0"/>
        <v>4896</v>
      </c>
      <c r="F20">
        <f t="shared" si="1"/>
        <v>16</v>
      </c>
      <c r="G20">
        <f>61-D20</f>
        <v>57</v>
      </c>
      <c r="I20">
        <v>17</v>
      </c>
      <c r="J20">
        <f t="shared" si="2"/>
        <v>45</v>
      </c>
    </row>
    <row r="21" spans="3:14" x14ac:dyDescent="0.4">
      <c r="C21">
        <v>18</v>
      </c>
      <c r="D21">
        <f t="shared" si="4"/>
        <v>18</v>
      </c>
      <c r="E21">
        <f t="shared" si="0"/>
        <v>5814</v>
      </c>
      <c r="F21">
        <f t="shared" si="1"/>
        <v>19</v>
      </c>
      <c r="G21">
        <f>61-D21</f>
        <v>43</v>
      </c>
      <c r="I21">
        <v>18</v>
      </c>
      <c r="J21">
        <f t="shared" si="2"/>
        <v>19</v>
      </c>
    </row>
    <row r="22" spans="3:14" x14ac:dyDescent="0.4">
      <c r="C22">
        <v>19</v>
      </c>
      <c r="D22" t="str">
        <f t="shared" si="4"/>
        <v>NON</v>
      </c>
      <c r="E22">
        <f t="shared" si="0"/>
        <v>6840</v>
      </c>
      <c r="F22">
        <f t="shared" si="1"/>
        <v>8</v>
      </c>
      <c r="I22">
        <v>19</v>
      </c>
      <c r="J22">
        <f t="shared" si="2"/>
        <v>56</v>
      </c>
    </row>
    <row r="23" spans="3:14" x14ac:dyDescent="0.4">
      <c r="C23">
        <v>20</v>
      </c>
      <c r="D23" t="str">
        <f t="shared" si="4"/>
        <v>NON</v>
      </c>
      <c r="E23">
        <f t="shared" si="0"/>
        <v>7980</v>
      </c>
      <c r="F23">
        <f t="shared" si="1"/>
        <v>50</v>
      </c>
      <c r="I23">
        <v>20</v>
      </c>
      <c r="J23">
        <f t="shared" si="2"/>
        <v>34</v>
      </c>
    </row>
    <row r="24" spans="3:14" x14ac:dyDescent="0.4">
      <c r="C24">
        <v>21</v>
      </c>
      <c r="D24" t="str">
        <f t="shared" si="4"/>
        <v>NON</v>
      </c>
      <c r="E24">
        <f t="shared" si="0"/>
        <v>9240</v>
      </c>
      <c r="F24">
        <f t="shared" si="1"/>
        <v>29</v>
      </c>
      <c r="I24">
        <v>21</v>
      </c>
      <c r="J24">
        <f t="shared" si="2"/>
        <v>14</v>
      </c>
    </row>
    <row r="25" spans="3:14" x14ac:dyDescent="0.4">
      <c r="C25">
        <v>22</v>
      </c>
      <c r="D25">
        <f t="shared" si="4"/>
        <v>16</v>
      </c>
      <c r="E25">
        <f t="shared" si="0"/>
        <v>10626</v>
      </c>
      <c r="F25">
        <f t="shared" si="1"/>
        <v>12</v>
      </c>
      <c r="G25">
        <f>61-D25</f>
        <v>45</v>
      </c>
      <c r="I25">
        <v>22</v>
      </c>
      <c r="J25">
        <f t="shared" si="2"/>
        <v>57</v>
      </c>
    </row>
    <row r="26" spans="3:14" x14ac:dyDescent="0.4">
      <c r="C26">
        <v>23</v>
      </c>
      <c r="D26">
        <f t="shared" si="4"/>
        <v>26</v>
      </c>
      <c r="E26">
        <f t="shared" si="0"/>
        <v>12144</v>
      </c>
      <c r="F26">
        <f t="shared" si="1"/>
        <v>5</v>
      </c>
      <c r="G26">
        <f>61-D26</f>
        <v>35</v>
      </c>
      <c r="I26">
        <v>23</v>
      </c>
      <c r="J26">
        <f t="shared" si="2"/>
        <v>41</v>
      </c>
    </row>
    <row r="27" spans="3:14" x14ac:dyDescent="0.4">
      <c r="C27">
        <v>24</v>
      </c>
      <c r="D27">
        <f t="shared" si="4"/>
        <v>21</v>
      </c>
      <c r="E27">
        <f t="shared" si="0"/>
        <v>13800</v>
      </c>
      <c r="F27">
        <f t="shared" si="1"/>
        <v>14</v>
      </c>
      <c r="G27">
        <f>61-D27</f>
        <v>40</v>
      </c>
      <c r="I27">
        <v>24</v>
      </c>
      <c r="J27">
        <f t="shared" si="2"/>
        <v>27</v>
      </c>
      <c r="N27" s="3"/>
    </row>
    <row r="28" spans="3:14" x14ac:dyDescent="0.4">
      <c r="C28">
        <v>25</v>
      </c>
      <c r="D28">
        <f t="shared" si="4"/>
        <v>17</v>
      </c>
      <c r="E28">
        <f t="shared" si="0"/>
        <v>15600</v>
      </c>
      <c r="F28">
        <f t="shared" si="1"/>
        <v>45</v>
      </c>
      <c r="G28">
        <f>61-D28</f>
        <v>44</v>
      </c>
      <c r="I28">
        <v>25</v>
      </c>
      <c r="J28">
        <f t="shared" si="2"/>
        <v>15</v>
      </c>
    </row>
    <row r="29" spans="3:14" x14ac:dyDescent="0.4">
      <c r="C29">
        <v>26</v>
      </c>
      <c r="D29" t="str">
        <f t="shared" si="4"/>
        <v>NON</v>
      </c>
      <c r="E29">
        <f t="shared" si="0"/>
        <v>17550</v>
      </c>
      <c r="F29">
        <f t="shared" si="1"/>
        <v>43</v>
      </c>
      <c r="I29">
        <v>26</v>
      </c>
      <c r="J29">
        <f t="shared" si="2"/>
        <v>5</v>
      </c>
    </row>
    <row r="30" spans="3:14" x14ac:dyDescent="0.4">
      <c r="C30">
        <v>27</v>
      </c>
      <c r="D30">
        <f t="shared" si="4"/>
        <v>21</v>
      </c>
      <c r="E30">
        <f t="shared" si="0"/>
        <v>19656</v>
      </c>
      <c r="F30">
        <f t="shared" si="1"/>
        <v>14</v>
      </c>
      <c r="G30">
        <f>61-D30</f>
        <v>40</v>
      </c>
      <c r="I30">
        <v>27</v>
      </c>
      <c r="J30">
        <f t="shared" si="2"/>
        <v>58</v>
      </c>
    </row>
    <row r="31" spans="3:14" x14ac:dyDescent="0.4">
      <c r="C31">
        <v>28</v>
      </c>
      <c r="D31">
        <f t="shared" si="4"/>
        <v>5</v>
      </c>
      <c r="E31">
        <f t="shared" si="0"/>
        <v>21924</v>
      </c>
      <c r="F31">
        <f t="shared" si="1"/>
        <v>25</v>
      </c>
      <c r="G31">
        <f>61-D31</f>
        <v>56</v>
      </c>
      <c r="I31">
        <v>28</v>
      </c>
      <c r="J31">
        <f t="shared" si="2"/>
        <v>52</v>
      </c>
    </row>
    <row r="32" spans="3:14" x14ac:dyDescent="0.4">
      <c r="C32">
        <v>29</v>
      </c>
      <c r="D32" t="str">
        <f t="shared" si="4"/>
        <v>NON</v>
      </c>
      <c r="E32">
        <f t="shared" si="0"/>
        <v>24360</v>
      </c>
      <c r="F32">
        <f t="shared" si="1"/>
        <v>21</v>
      </c>
      <c r="I32">
        <v>29</v>
      </c>
      <c r="J32">
        <f t="shared" si="2"/>
        <v>48</v>
      </c>
    </row>
    <row r="33" spans="3:10" x14ac:dyDescent="0.4">
      <c r="C33">
        <v>30</v>
      </c>
      <c r="D33" t="str">
        <f t="shared" si="4"/>
        <v>NON</v>
      </c>
      <c r="E33">
        <f t="shared" si="0"/>
        <v>26970</v>
      </c>
      <c r="F33">
        <f t="shared" si="1"/>
        <v>8</v>
      </c>
      <c r="I33">
        <v>30</v>
      </c>
      <c r="J33">
        <f t="shared" si="2"/>
        <v>46</v>
      </c>
    </row>
    <row r="34" spans="3:10" x14ac:dyDescent="0.4">
      <c r="C34">
        <v>31</v>
      </c>
      <c r="D34" t="str">
        <f t="shared" si="4"/>
        <v>NON</v>
      </c>
      <c r="E34">
        <f t="shared" si="0"/>
        <v>29760</v>
      </c>
      <c r="F34">
        <f t="shared" si="1"/>
        <v>53</v>
      </c>
      <c r="I34">
        <v>31</v>
      </c>
      <c r="J34">
        <f t="shared" si="2"/>
        <v>46</v>
      </c>
    </row>
    <row r="35" spans="3:10" x14ac:dyDescent="0.4">
      <c r="C35">
        <v>32</v>
      </c>
      <c r="D35" t="str">
        <f t="shared" si="4"/>
        <v>NON</v>
      </c>
      <c r="E35">
        <f t="shared" si="0"/>
        <v>32736</v>
      </c>
      <c r="F35">
        <f t="shared" si="1"/>
        <v>40</v>
      </c>
      <c r="I35">
        <v>32</v>
      </c>
      <c r="J35">
        <f t="shared" si="2"/>
        <v>48</v>
      </c>
    </row>
    <row r="36" spans="3:10" x14ac:dyDescent="0.4">
      <c r="C36">
        <v>33</v>
      </c>
      <c r="D36">
        <f t="shared" si="4"/>
        <v>6</v>
      </c>
      <c r="E36">
        <f t="shared" si="0"/>
        <v>35904</v>
      </c>
      <c r="F36">
        <f t="shared" si="1"/>
        <v>36</v>
      </c>
      <c r="G36">
        <f>61-D36</f>
        <v>55</v>
      </c>
      <c r="I36">
        <v>33</v>
      </c>
      <c r="J36">
        <f t="shared" si="2"/>
        <v>52</v>
      </c>
    </row>
    <row r="37" spans="3:10" x14ac:dyDescent="0.4">
      <c r="C37">
        <v>34</v>
      </c>
      <c r="D37">
        <f t="shared" si="4"/>
        <v>13</v>
      </c>
      <c r="E37">
        <f t="shared" si="0"/>
        <v>39270</v>
      </c>
      <c r="F37">
        <f t="shared" si="1"/>
        <v>47</v>
      </c>
      <c r="G37">
        <f>61-D37</f>
        <v>48</v>
      </c>
      <c r="I37">
        <v>34</v>
      </c>
      <c r="J37">
        <f t="shared" si="2"/>
        <v>58</v>
      </c>
    </row>
    <row r="38" spans="3:10" x14ac:dyDescent="0.4">
      <c r="C38">
        <v>35</v>
      </c>
      <c r="D38" t="str">
        <f t="shared" si="4"/>
        <v>NON</v>
      </c>
      <c r="E38">
        <f t="shared" si="0"/>
        <v>42840</v>
      </c>
      <c r="F38">
        <f t="shared" si="1"/>
        <v>18</v>
      </c>
      <c r="I38">
        <v>35</v>
      </c>
      <c r="J38">
        <f t="shared" si="2"/>
        <v>5</v>
      </c>
    </row>
    <row r="39" spans="3:10" x14ac:dyDescent="0.4">
      <c r="C39">
        <v>36</v>
      </c>
      <c r="D39">
        <f t="shared" si="4"/>
        <v>4</v>
      </c>
      <c r="E39">
        <f t="shared" si="0"/>
        <v>46620</v>
      </c>
      <c r="F39">
        <f t="shared" si="1"/>
        <v>16</v>
      </c>
      <c r="G39">
        <f>61-D39</f>
        <v>57</v>
      </c>
      <c r="I39">
        <v>36</v>
      </c>
      <c r="J39">
        <f t="shared" si="2"/>
        <v>15</v>
      </c>
    </row>
    <row r="40" spans="3:10" x14ac:dyDescent="0.4">
      <c r="C40">
        <v>37</v>
      </c>
      <c r="D40">
        <f t="shared" si="4"/>
        <v>13</v>
      </c>
      <c r="E40">
        <f t="shared" si="0"/>
        <v>50616</v>
      </c>
      <c r="F40">
        <f t="shared" si="1"/>
        <v>47</v>
      </c>
      <c r="G40">
        <f>61-D40</f>
        <v>48</v>
      </c>
      <c r="I40">
        <v>37</v>
      </c>
      <c r="J40">
        <f t="shared" si="2"/>
        <v>27</v>
      </c>
    </row>
    <row r="41" spans="3:10" x14ac:dyDescent="0.4">
      <c r="C41">
        <v>38</v>
      </c>
      <c r="D41">
        <f t="shared" si="4"/>
        <v>19</v>
      </c>
      <c r="E41">
        <f t="shared" si="0"/>
        <v>54834</v>
      </c>
      <c r="F41">
        <f t="shared" si="1"/>
        <v>56</v>
      </c>
      <c r="G41">
        <f>61-D41</f>
        <v>42</v>
      </c>
      <c r="I41">
        <v>38</v>
      </c>
      <c r="J41">
        <f t="shared" si="2"/>
        <v>41</v>
      </c>
    </row>
    <row r="42" spans="3:10" x14ac:dyDescent="0.4">
      <c r="C42">
        <v>39</v>
      </c>
      <c r="D42">
        <f t="shared" si="4"/>
        <v>7</v>
      </c>
      <c r="E42">
        <f t="shared" si="0"/>
        <v>59280</v>
      </c>
      <c r="F42">
        <f t="shared" si="1"/>
        <v>49</v>
      </c>
      <c r="G42">
        <f>61-D42</f>
        <v>54</v>
      </c>
      <c r="I42">
        <v>39</v>
      </c>
      <c r="J42">
        <f t="shared" si="2"/>
        <v>57</v>
      </c>
    </row>
    <row r="43" spans="3:10" x14ac:dyDescent="0.4">
      <c r="C43">
        <v>40</v>
      </c>
      <c r="D43" t="str">
        <f t="shared" si="4"/>
        <v>NON</v>
      </c>
      <c r="E43">
        <f t="shared" si="0"/>
        <v>63960</v>
      </c>
      <c r="F43">
        <f t="shared" si="1"/>
        <v>32</v>
      </c>
      <c r="I43">
        <v>40</v>
      </c>
      <c r="J43">
        <f t="shared" si="2"/>
        <v>14</v>
      </c>
    </row>
    <row r="44" spans="3:10" x14ac:dyDescent="0.4">
      <c r="C44">
        <v>41</v>
      </c>
      <c r="D44" t="str">
        <f t="shared" si="4"/>
        <v>NON</v>
      </c>
      <c r="E44">
        <f t="shared" si="0"/>
        <v>68880</v>
      </c>
      <c r="F44">
        <f t="shared" si="1"/>
        <v>11</v>
      </c>
      <c r="I44">
        <v>41</v>
      </c>
      <c r="J44">
        <f t="shared" si="2"/>
        <v>34</v>
      </c>
    </row>
    <row r="45" spans="3:10" x14ac:dyDescent="0.4">
      <c r="C45">
        <v>42</v>
      </c>
      <c r="D45" t="str">
        <f t="shared" si="4"/>
        <v>NON</v>
      </c>
      <c r="E45">
        <f t="shared" si="0"/>
        <v>74046</v>
      </c>
      <c r="F45">
        <f t="shared" si="1"/>
        <v>53</v>
      </c>
      <c r="I45">
        <v>42</v>
      </c>
      <c r="J45">
        <f t="shared" si="2"/>
        <v>56</v>
      </c>
    </row>
    <row r="46" spans="3:10" x14ac:dyDescent="0.4">
      <c r="C46">
        <v>43</v>
      </c>
      <c r="D46">
        <f t="shared" si="4"/>
        <v>15</v>
      </c>
      <c r="E46">
        <f t="shared" si="0"/>
        <v>79464</v>
      </c>
      <c r="F46">
        <f t="shared" si="1"/>
        <v>42</v>
      </c>
      <c r="G46">
        <f>61-D46</f>
        <v>46</v>
      </c>
      <c r="I46">
        <v>43</v>
      </c>
      <c r="J46">
        <f t="shared" si="2"/>
        <v>19</v>
      </c>
    </row>
    <row r="47" spans="3:10" x14ac:dyDescent="0.4">
      <c r="C47">
        <v>44</v>
      </c>
      <c r="D47">
        <f t="shared" si="4"/>
        <v>17</v>
      </c>
      <c r="E47">
        <f t="shared" si="0"/>
        <v>85140</v>
      </c>
      <c r="F47">
        <f t="shared" si="1"/>
        <v>45</v>
      </c>
      <c r="G47">
        <f>61-D47</f>
        <v>44</v>
      </c>
      <c r="I47">
        <v>44</v>
      </c>
      <c r="J47">
        <f t="shared" si="2"/>
        <v>45</v>
      </c>
    </row>
    <row r="48" spans="3:10" x14ac:dyDescent="0.4">
      <c r="C48">
        <v>45</v>
      </c>
      <c r="D48" t="str">
        <f t="shared" si="4"/>
        <v>NON</v>
      </c>
      <c r="E48">
        <f t="shared" si="0"/>
        <v>91080</v>
      </c>
      <c r="F48">
        <f t="shared" si="1"/>
        <v>7</v>
      </c>
      <c r="I48">
        <v>45</v>
      </c>
      <c r="J48">
        <f t="shared" si="2"/>
        <v>12</v>
      </c>
    </row>
    <row r="49" spans="3:10" x14ac:dyDescent="0.4">
      <c r="C49">
        <v>46</v>
      </c>
      <c r="D49">
        <f t="shared" si="4"/>
        <v>19</v>
      </c>
      <c r="E49">
        <f t="shared" si="0"/>
        <v>97290</v>
      </c>
      <c r="F49">
        <f t="shared" si="1"/>
        <v>56</v>
      </c>
      <c r="G49">
        <f>61-D49</f>
        <v>42</v>
      </c>
      <c r="I49">
        <v>46</v>
      </c>
      <c r="J49">
        <f t="shared" si="2"/>
        <v>42</v>
      </c>
    </row>
    <row r="50" spans="3:10" x14ac:dyDescent="0.4">
      <c r="C50">
        <v>47</v>
      </c>
      <c r="D50">
        <f t="shared" si="4"/>
        <v>25</v>
      </c>
      <c r="E50">
        <f t="shared" si="0"/>
        <v>103776</v>
      </c>
      <c r="F50">
        <f t="shared" si="1"/>
        <v>15</v>
      </c>
      <c r="G50">
        <f>61-D50</f>
        <v>36</v>
      </c>
      <c r="I50">
        <v>47</v>
      </c>
      <c r="J50">
        <f t="shared" si="2"/>
        <v>13</v>
      </c>
    </row>
    <row r="51" spans="3:10" x14ac:dyDescent="0.4">
      <c r="C51">
        <v>48</v>
      </c>
      <c r="D51">
        <f t="shared" si="4"/>
        <v>16</v>
      </c>
      <c r="E51">
        <f t="shared" si="0"/>
        <v>110544</v>
      </c>
      <c r="F51">
        <f t="shared" si="1"/>
        <v>12</v>
      </c>
      <c r="G51">
        <f>61-D51</f>
        <v>45</v>
      </c>
      <c r="I51">
        <v>48</v>
      </c>
      <c r="J51">
        <f t="shared" si="2"/>
        <v>47</v>
      </c>
    </row>
    <row r="52" spans="3:10" x14ac:dyDescent="0.4">
      <c r="C52">
        <v>49</v>
      </c>
      <c r="D52" t="str">
        <f t="shared" si="4"/>
        <v>NON</v>
      </c>
      <c r="E52">
        <f t="shared" si="0"/>
        <v>117600</v>
      </c>
      <c r="F52">
        <f t="shared" si="1"/>
        <v>53</v>
      </c>
      <c r="I52">
        <v>49</v>
      </c>
      <c r="J52">
        <f t="shared" si="2"/>
        <v>22</v>
      </c>
    </row>
    <row r="53" spans="3:10" x14ac:dyDescent="0.4">
      <c r="C53">
        <v>50</v>
      </c>
      <c r="D53">
        <f t="shared" si="4"/>
        <v>12</v>
      </c>
      <c r="E53">
        <f t="shared" si="0"/>
        <v>124950</v>
      </c>
      <c r="F53">
        <f t="shared" si="1"/>
        <v>22</v>
      </c>
      <c r="G53">
        <f>61-D53</f>
        <v>49</v>
      </c>
      <c r="I53">
        <v>50</v>
      </c>
      <c r="J53">
        <f t="shared" si="2"/>
        <v>60</v>
      </c>
    </row>
    <row r="54" spans="3:10" x14ac:dyDescent="0.4">
      <c r="C54">
        <v>51</v>
      </c>
      <c r="D54">
        <f t="shared" si="4"/>
        <v>13</v>
      </c>
      <c r="E54">
        <f t="shared" si="0"/>
        <v>132600</v>
      </c>
      <c r="F54">
        <f t="shared" si="1"/>
        <v>47</v>
      </c>
      <c r="G54">
        <f>61-D54</f>
        <v>48</v>
      </c>
      <c r="I54">
        <v>51</v>
      </c>
      <c r="J54">
        <f t="shared" si="2"/>
        <v>39</v>
      </c>
    </row>
    <row r="55" spans="3:10" x14ac:dyDescent="0.4">
      <c r="C55">
        <v>52</v>
      </c>
      <c r="D55">
        <f t="shared" si="4"/>
        <v>16</v>
      </c>
      <c r="E55">
        <f t="shared" si="0"/>
        <v>140556</v>
      </c>
      <c r="F55">
        <f t="shared" si="1"/>
        <v>12</v>
      </c>
      <c r="G55">
        <f>61-D55</f>
        <v>45</v>
      </c>
      <c r="I55">
        <v>52</v>
      </c>
      <c r="J55">
        <f t="shared" si="2"/>
        <v>20</v>
      </c>
    </row>
    <row r="56" spans="3:10" x14ac:dyDescent="0.4">
      <c r="C56">
        <v>53</v>
      </c>
      <c r="D56">
        <f t="shared" si="4"/>
        <v>17</v>
      </c>
      <c r="E56">
        <f t="shared" si="0"/>
        <v>148824</v>
      </c>
      <c r="F56">
        <f t="shared" si="1"/>
        <v>45</v>
      </c>
      <c r="G56">
        <f>61-D56</f>
        <v>44</v>
      </c>
      <c r="I56">
        <v>53</v>
      </c>
      <c r="J56">
        <f t="shared" si="2"/>
        <v>3</v>
      </c>
    </row>
    <row r="57" spans="3:10" x14ac:dyDescent="0.4">
      <c r="C57">
        <v>54</v>
      </c>
      <c r="D57" t="str">
        <f t="shared" si="4"/>
        <v>NON</v>
      </c>
      <c r="E57">
        <f t="shared" si="0"/>
        <v>157410</v>
      </c>
      <c r="F57">
        <f t="shared" si="1"/>
        <v>30</v>
      </c>
      <c r="I57">
        <v>54</v>
      </c>
      <c r="J57">
        <f t="shared" si="2"/>
        <v>49</v>
      </c>
    </row>
    <row r="58" spans="3:10" x14ac:dyDescent="0.4">
      <c r="C58">
        <v>55</v>
      </c>
      <c r="D58">
        <f t="shared" si="4"/>
        <v>20</v>
      </c>
      <c r="E58">
        <f t="shared" si="0"/>
        <v>166320</v>
      </c>
      <c r="F58">
        <f t="shared" si="1"/>
        <v>34</v>
      </c>
      <c r="G58">
        <f>61-D58</f>
        <v>41</v>
      </c>
      <c r="I58">
        <v>55</v>
      </c>
      <c r="J58">
        <f t="shared" si="2"/>
        <v>36</v>
      </c>
    </row>
    <row r="59" spans="3:10" x14ac:dyDescent="0.4">
      <c r="C59">
        <v>56</v>
      </c>
      <c r="D59" t="str">
        <f t="shared" si="4"/>
        <v>NON</v>
      </c>
      <c r="E59">
        <f t="shared" si="0"/>
        <v>175560</v>
      </c>
      <c r="F59">
        <f t="shared" si="1"/>
        <v>2</v>
      </c>
      <c r="I59">
        <v>56</v>
      </c>
      <c r="J59">
        <f t="shared" si="2"/>
        <v>25</v>
      </c>
    </row>
    <row r="60" spans="3:10" x14ac:dyDescent="0.4">
      <c r="C60">
        <v>57</v>
      </c>
      <c r="D60">
        <f t="shared" si="4"/>
        <v>1</v>
      </c>
      <c r="E60">
        <f t="shared" si="0"/>
        <v>185136</v>
      </c>
      <c r="F60">
        <f t="shared" si="1"/>
        <v>1</v>
      </c>
      <c r="G60">
        <f>61-D60</f>
        <v>60</v>
      </c>
      <c r="I60">
        <v>57</v>
      </c>
      <c r="J60">
        <f t="shared" si="2"/>
        <v>16</v>
      </c>
    </row>
    <row r="61" spans="3:10" x14ac:dyDescent="0.4">
      <c r="C61">
        <v>58</v>
      </c>
      <c r="D61" t="str">
        <f t="shared" si="4"/>
        <v>NON</v>
      </c>
      <c r="E61">
        <f t="shared" si="0"/>
        <v>195054</v>
      </c>
      <c r="F61">
        <f t="shared" si="1"/>
        <v>37</v>
      </c>
      <c r="I61">
        <v>58</v>
      </c>
      <c r="J61">
        <f t="shared" si="2"/>
        <v>9</v>
      </c>
    </row>
    <row r="62" spans="3:10" x14ac:dyDescent="0.4">
      <c r="C62">
        <v>59</v>
      </c>
      <c r="D62" t="str">
        <f t="shared" si="4"/>
        <v>NON</v>
      </c>
      <c r="E62">
        <f t="shared" si="0"/>
        <v>205320</v>
      </c>
      <c r="F62">
        <f t="shared" si="1"/>
        <v>55</v>
      </c>
      <c r="I62">
        <v>59</v>
      </c>
      <c r="J62">
        <f t="shared" si="2"/>
        <v>4</v>
      </c>
    </row>
    <row r="63" spans="3:10" x14ac:dyDescent="0.4">
      <c r="C63">
        <v>60</v>
      </c>
      <c r="D63">
        <f t="shared" si="4"/>
        <v>0</v>
      </c>
      <c r="E63">
        <f t="shared" si="0"/>
        <v>215940</v>
      </c>
      <c r="F63">
        <f t="shared" si="1"/>
        <v>0</v>
      </c>
      <c r="G63">
        <v>0</v>
      </c>
      <c r="I63">
        <v>60</v>
      </c>
      <c r="J63">
        <f t="shared" si="2"/>
        <v>1</v>
      </c>
    </row>
    <row r="71" spans="3:5" x14ac:dyDescent="0.4">
      <c r="C71" t="s">
        <v>15</v>
      </c>
      <c r="D71" t="s">
        <v>9</v>
      </c>
      <c r="E71" t="s">
        <v>13</v>
      </c>
    </row>
    <row r="72" spans="3:5" x14ac:dyDescent="0.4">
      <c r="C72">
        <v>0</v>
      </c>
      <c r="D72">
        <v>0</v>
      </c>
      <c r="E72">
        <v>0</v>
      </c>
    </row>
    <row r="73" spans="3:5" x14ac:dyDescent="0.4">
      <c r="C73">
        <v>1</v>
      </c>
      <c r="D73">
        <v>0</v>
      </c>
      <c r="E73">
        <v>0</v>
      </c>
    </row>
    <row r="74" spans="3:5" x14ac:dyDescent="0.4">
      <c r="C74">
        <v>2</v>
      </c>
    </row>
    <row r="75" spans="3:5" x14ac:dyDescent="0.4">
      <c r="C75">
        <v>3</v>
      </c>
    </row>
    <row r="76" spans="3:5" x14ac:dyDescent="0.4">
      <c r="C76">
        <v>4</v>
      </c>
      <c r="D76">
        <v>11</v>
      </c>
      <c r="E76">
        <v>50</v>
      </c>
    </row>
    <row r="77" spans="3:5" x14ac:dyDescent="0.4">
      <c r="C77">
        <v>5</v>
      </c>
    </row>
    <row r="78" spans="3:5" x14ac:dyDescent="0.4">
      <c r="C78">
        <v>6</v>
      </c>
      <c r="D78">
        <v>24</v>
      </c>
      <c r="E78">
        <v>37</v>
      </c>
    </row>
    <row r="79" spans="3:5" x14ac:dyDescent="0.4">
      <c r="C79">
        <v>7</v>
      </c>
    </row>
    <row r="80" spans="3:5" x14ac:dyDescent="0.4">
      <c r="C80">
        <v>8</v>
      </c>
      <c r="D80">
        <v>4</v>
      </c>
      <c r="E80">
        <v>57</v>
      </c>
    </row>
    <row r="81" spans="3:5" x14ac:dyDescent="0.4">
      <c r="C81">
        <v>9</v>
      </c>
      <c r="D81">
        <v>7</v>
      </c>
      <c r="E81">
        <v>54</v>
      </c>
    </row>
    <row r="82" spans="3:5" x14ac:dyDescent="0.4">
      <c r="C82">
        <v>10</v>
      </c>
      <c r="D82">
        <v>21</v>
      </c>
      <c r="E82">
        <v>40</v>
      </c>
    </row>
    <row r="83" spans="3:5" x14ac:dyDescent="0.4">
      <c r="C83">
        <v>11</v>
      </c>
      <c r="D83">
        <v>10</v>
      </c>
      <c r="E83">
        <v>51</v>
      </c>
    </row>
    <row r="84" spans="3:5" x14ac:dyDescent="0.4">
      <c r="C84">
        <v>12</v>
      </c>
    </row>
    <row r="85" spans="3:5" x14ac:dyDescent="0.4">
      <c r="C85">
        <v>13</v>
      </c>
      <c r="D85">
        <v>7</v>
      </c>
      <c r="E85">
        <v>54</v>
      </c>
    </row>
    <row r="86" spans="3:5" x14ac:dyDescent="0.4">
      <c r="C86">
        <v>14</v>
      </c>
      <c r="D86">
        <v>30</v>
      </c>
      <c r="E86">
        <v>31</v>
      </c>
    </row>
    <row r="87" spans="3:5" x14ac:dyDescent="0.4">
      <c r="C87">
        <v>15</v>
      </c>
      <c r="D87">
        <v>26</v>
      </c>
      <c r="E87">
        <v>35</v>
      </c>
    </row>
    <row r="88" spans="3:5" x14ac:dyDescent="0.4">
      <c r="C88">
        <v>16</v>
      </c>
    </row>
    <row r="89" spans="3:5" x14ac:dyDescent="0.4">
      <c r="C89">
        <v>17</v>
      </c>
      <c r="D89">
        <v>4</v>
      </c>
      <c r="E89">
        <v>57</v>
      </c>
    </row>
    <row r="90" spans="3:5" x14ac:dyDescent="0.4">
      <c r="C90">
        <v>18</v>
      </c>
      <c r="D90">
        <v>18</v>
      </c>
      <c r="E90">
        <v>43</v>
      </c>
    </row>
    <row r="91" spans="3:5" x14ac:dyDescent="0.4">
      <c r="C91">
        <v>19</v>
      </c>
    </row>
    <row r="92" spans="3:5" x14ac:dyDescent="0.4">
      <c r="C92">
        <v>20</v>
      </c>
    </row>
    <row r="93" spans="3:5" x14ac:dyDescent="0.4">
      <c r="C93">
        <v>21</v>
      </c>
    </row>
    <row r="94" spans="3:5" x14ac:dyDescent="0.4">
      <c r="C94">
        <v>22</v>
      </c>
      <c r="D94">
        <v>16</v>
      </c>
      <c r="E94">
        <v>45</v>
      </c>
    </row>
    <row r="95" spans="3:5" x14ac:dyDescent="0.4">
      <c r="C95">
        <v>23</v>
      </c>
      <c r="D95">
        <v>26</v>
      </c>
      <c r="E95">
        <v>35</v>
      </c>
    </row>
    <row r="96" spans="3:5" x14ac:dyDescent="0.4">
      <c r="C96">
        <v>24</v>
      </c>
      <c r="D96">
        <v>21</v>
      </c>
      <c r="E96">
        <v>40</v>
      </c>
    </row>
    <row r="97" spans="3:5" x14ac:dyDescent="0.4">
      <c r="C97">
        <v>25</v>
      </c>
      <c r="D97">
        <v>17</v>
      </c>
      <c r="E97">
        <v>44</v>
      </c>
    </row>
    <row r="98" spans="3:5" x14ac:dyDescent="0.4">
      <c r="C98">
        <v>26</v>
      </c>
    </row>
    <row r="99" spans="3:5" x14ac:dyDescent="0.4">
      <c r="C99">
        <v>27</v>
      </c>
      <c r="D99">
        <v>21</v>
      </c>
      <c r="E99">
        <v>40</v>
      </c>
    </row>
    <row r="100" spans="3:5" x14ac:dyDescent="0.4">
      <c r="C100">
        <v>28</v>
      </c>
      <c r="D100">
        <v>5</v>
      </c>
      <c r="E100">
        <v>56</v>
      </c>
    </row>
    <row r="101" spans="3:5" x14ac:dyDescent="0.4">
      <c r="C101">
        <v>29</v>
      </c>
    </row>
    <row r="102" spans="3:5" x14ac:dyDescent="0.4">
      <c r="C102">
        <v>30</v>
      </c>
    </row>
    <row r="103" spans="3:5" x14ac:dyDescent="0.4">
      <c r="C103">
        <v>31</v>
      </c>
    </row>
    <row r="104" spans="3:5" x14ac:dyDescent="0.4">
      <c r="C104">
        <v>32</v>
      </c>
    </row>
    <row r="105" spans="3:5" x14ac:dyDescent="0.4">
      <c r="C105">
        <v>33</v>
      </c>
      <c r="D105">
        <v>6</v>
      </c>
      <c r="E105">
        <v>55</v>
      </c>
    </row>
    <row r="106" spans="3:5" x14ac:dyDescent="0.4">
      <c r="C106">
        <v>34</v>
      </c>
      <c r="D106">
        <v>13</v>
      </c>
      <c r="E106">
        <v>48</v>
      </c>
    </row>
    <row r="107" spans="3:5" x14ac:dyDescent="0.4">
      <c r="C107">
        <v>35</v>
      </c>
    </row>
    <row r="108" spans="3:5" x14ac:dyDescent="0.4">
      <c r="C108">
        <v>36</v>
      </c>
      <c r="D108">
        <v>4</v>
      </c>
      <c r="E108">
        <v>57</v>
      </c>
    </row>
    <row r="109" spans="3:5" x14ac:dyDescent="0.4">
      <c r="C109">
        <v>37</v>
      </c>
      <c r="D109">
        <v>13</v>
      </c>
      <c r="E109">
        <v>48</v>
      </c>
    </row>
    <row r="110" spans="3:5" x14ac:dyDescent="0.4">
      <c r="C110">
        <v>38</v>
      </c>
      <c r="D110">
        <v>19</v>
      </c>
      <c r="E110">
        <v>42</v>
      </c>
    </row>
    <row r="111" spans="3:5" x14ac:dyDescent="0.4">
      <c r="C111">
        <v>39</v>
      </c>
      <c r="D111">
        <v>7</v>
      </c>
      <c r="E111">
        <v>54</v>
      </c>
    </row>
    <row r="112" spans="3:5" x14ac:dyDescent="0.4">
      <c r="C112">
        <v>40</v>
      </c>
    </row>
    <row r="113" spans="3:5" x14ac:dyDescent="0.4">
      <c r="C113">
        <v>41</v>
      </c>
    </row>
    <row r="114" spans="3:5" x14ac:dyDescent="0.4">
      <c r="C114">
        <v>42</v>
      </c>
    </row>
    <row r="115" spans="3:5" x14ac:dyDescent="0.4">
      <c r="C115">
        <v>43</v>
      </c>
      <c r="D115">
        <v>15</v>
      </c>
      <c r="E115">
        <v>46</v>
      </c>
    </row>
    <row r="116" spans="3:5" x14ac:dyDescent="0.4">
      <c r="C116">
        <v>44</v>
      </c>
      <c r="D116">
        <v>17</v>
      </c>
      <c r="E116">
        <v>44</v>
      </c>
    </row>
    <row r="117" spans="3:5" x14ac:dyDescent="0.4">
      <c r="C117">
        <v>45</v>
      </c>
    </row>
    <row r="118" spans="3:5" x14ac:dyDescent="0.4">
      <c r="C118">
        <v>46</v>
      </c>
      <c r="D118">
        <v>19</v>
      </c>
      <c r="E118">
        <v>42</v>
      </c>
    </row>
    <row r="119" spans="3:5" x14ac:dyDescent="0.4">
      <c r="C119">
        <v>47</v>
      </c>
      <c r="D119">
        <v>25</v>
      </c>
      <c r="E119">
        <v>36</v>
      </c>
    </row>
    <row r="120" spans="3:5" x14ac:dyDescent="0.4">
      <c r="C120">
        <v>48</v>
      </c>
      <c r="D120">
        <v>16</v>
      </c>
      <c r="E120">
        <v>45</v>
      </c>
    </row>
    <row r="121" spans="3:5" x14ac:dyDescent="0.4">
      <c r="C121">
        <v>49</v>
      </c>
    </row>
    <row r="122" spans="3:5" x14ac:dyDescent="0.4">
      <c r="C122">
        <v>50</v>
      </c>
      <c r="D122">
        <v>12</v>
      </c>
      <c r="E122">
        <v>49</v>
      </c>
    </row>
    <row r="123" spans="3:5" x14ac:dyDescent="0.4">
      <c r="C123">
        <v>51</v>
      </c>
      <c r="D123">
        <v>13</v>
      </c>
      <c r="E123">
        <v>48</v>
      </c>
    </row>
    <row r="124" spans="3:5" x14ac:dyDescent="0.4">
      <c r="C124">
        <v>52</v>
      </c>
      <c r="D124">
        <v>16</v>
      </c>
      <c r="E124">
        <v>45</v>
      </c>
    </row>
    <row r="125" spans="3:5" x14ac:dyDescent="0.4">
      <c r="C125">
        <v>53</v>
      </c>
      <c r="D125">
        <v>17</v>
      </c>
      <c r="E125">
        <v>44</v>
      </c>
    </row>
    <row r="126" spans="3:5" x14ac:dyDescent="0.4">
      <c r="C126">
        <v>54</v>
      </c>
    </row>
    <row r="127" spans="3:5" x14ac:dyDescent="0.4">
      <c r="C127">
        <v>55</v>
      </c>
      <c r="D127">
        <v>20</v>
      </c>
      <c r="E127">
        <v>41</v>
      </c>
    </row>
    <row r="128" spans="3:5" x14ac:dyDescent="0.4">
      <c r="C128">
        <v>56</v>
      </c>
    </row>
    <row r="129" spans="3:5" x14ac:dyDescent="0.4">
      <c r="C129">
        <v>57</v>
      </c>
      <c r="D129">
        <v>1</v>
      </c>
      <c r="E129">
        <v>60</v>
      </c>
    </row>
    <row r="130" spans="3:5" x14ac:dyDescent="0.4">
      <c r="C130">
        <v>58</v>
      </c>
    </row>
    <row r="131" spans="3:5" x14ac:dyDescent="0.4">
      <c r="C131">
        <v>59</v>
      </c>
    </row>
    <row r="132" spans="3:5" x14ac:dyDescent="0.4">
      <c r="C132">
        <v>60</v>
      </c>
      <c r="D132">
        <v>0</v>
      </c>
      <c r="E132">
        <v>0</v>
      </c>
    </row>
  </sheetData>
  <phoneticPr fontId="1"/>
  <hyperlinks>
    <hyperlink ref="M1" r:id="rId1" display="https://ja.wikipedia.org/wiki/%E6%A5%95%E5%86%86%E6%9B%B2%E7%B7%9A%E6%9A%97%E5%8F%B7" xr:uid="{FC1684F0-BD9E-4D98-A54E-EEAFBBAA0452}"/>
  </hyperlink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47F05-C646-4680-8B74-F2FF56583292}">
  <sheetPr codeName="Sheet7">
    <pageSetUpPr fitToPage="1"/>
  </sheetPr>
  <dimension ref="P2:U25"/>
  <sheetViews>
    <sheetView topLeftCell="A4" workbookViewId="0">
      <selection activeCell="P4" sqref="P4"/>
    </sheetView>
  </sheetViews>
  <sheetFormatPr defaultRowHeight="18.75" x14ac:dyDescent="0.4"/>
  <sheetData>
    <row r="2" spans="16:21" x14ac:dyDescent="0.4">
      <c r="P2">
        <v>4</v>
      </c>
      <c r="Q2">
        <v>11</v>
      </c>
      <c r="R2" t="s">
        <v>128</v>
      </c>
      <c r="S2">
        <f>16^2-8</f>
        <v>248</v>
      </c>
      <c r="U2">
        <f>MOD(S2,61)</f>
        <v>4</v>
      </c>
    </row>
    <row r="3" spans="16:21" x14ac:dyDescent="0.4">
      <c r="R3" t="s">
        <v>129</v>
      </c>
      <c r="S3">
        <f>-16*4</f>
        <v>-64</v>
      </c>
      <c r="T3">
        <v>-72</v>
      </c>
      <c r="U3">
        <f>MOD(T3,61)</f>
        <v>50</v>
      </c>
    </row>
    <row r="5" spans="16:21" x14ac:dyDescent="0.4">
      <c r="P5" t="s">
        <v>125</v>
      </c>
      <c r="Q5" t="s">
        <v>126</v>
      </c>
      <c r="R5">
        <v>47</v>
      </c>
      <c r="S5">
        <v>25</v>
      </c>
      <c r="T5">
        <f>MOD(R5*S5,61)</f>
        <v>16</v>
      </c>
    </row>
    <row r="6" spans="16:21" x14ac:dyDescent="0.4">
      <c r="Q6" t="s">
        <v>127</v>
      </c>
      <c r="R6">
        <v>54</v>
      </c>
      <c r="S6">
        <v>25</v>
      </c>
      <c r="T6">
        <f>MOD(R6*S6,61)</f>
        <v>8</v>
      </c>
    </row>
    <row r="24" spans="17:20" x14ac:dyDescent="0.4">
      <c r="Q24">
        <f>4^3</f>
        <v>64</v>
      </c>
      <c r="T24">
        <v>64</v>
      </c>
    </row>
    <row r="25" spans="17:20" x14ac:dyDescent="0.4">
      <c r="Q25">
        <v>-192</v>
      </c>
      <c r="R25">
        <v>4</v>
      </c>
      <c r="S25">
        <v>242</v>
      </c>
      <c r="T25">
        <f>Q25+R25+S25</f>
        <v>54</v>
      </c>
    </row>
  </sheetData>
  <phoneticPr fontId="1"/>
  <pageMargins left="0.7" right="0.7" top="0.75" bottom="0.75" header="0.3" footer="0.3"/>
  <pageSetup paperSize="9" scale="5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公開キー暗号</vt:lpstr>
      <vt:lpstr>原理の簡略化</vt:lpstr>
      <vt:lpstr>剰余系</vt:lpstr>
      <vt:lpstr>RSA(簡単な例)</vt:lpstr>
      <vt:lpstr>RSA(証明)</vt:lpstr>
      <vt:lpstr>RSA(計算)</vt:lpstr>
      <vt:lpstr>楕円</vt:lpstr>
      <vt:lpstr>楕円(加算1)</vt:lpstr>
      <vt:lpstr>楕円(加算2)</vt:lpstr>
      <vt:lpstr>楕円(加算3)</vt:lpstr>
      <vt:lpstr>楕円(逆元1)</vt:lpstr>
      <vt:lpstr>楕円(逆元2)</vt:lpstr>
      <vt:lpstr>楕円 (離散化)</vt:lpstr>
      <vt:lpstr>楕円(倍算)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ict15</dc:creator>
  <cp:lastModifiedBy>ict15</cp:lastModifiedBy>
  <cp:lastPrinted>2026-07-03T07:35:39Z</cp:lastPrinted>
  <dcterms:created xsi:type="dcterms:W3CDTF">2026-05-19T05:43:43Z</dcterms:created>
  <dcterms:modified xsi:type="dcterms:W3CDTF">2026-08-03T01:23:30Z</dcterms:modified>
</cp:coreProperties>
</file>